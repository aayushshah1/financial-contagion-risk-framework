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7.200.222\eco\MANAGING COMM AGENDA NOTE\2025\September 2025\"/>
    </mc:Choice>
  </mc:AlternateContent>
  <xr:revisionPtr revIDLastSave="0" documentId="13_ncr:1_{81A1D757-8209-4E38-9C85-FC42100CC3C6}" xr6:coauthVersionLast="47" xr6:coauthVersionMax="47" xr10:uidLastSave="{00000000-0000-0000-0000-000000000000}"/>
  <bookViews>
    <workbookView xWindow="-120" yWindow="-120" windowWidth="29040" windowHeight="15720" tabRatio="571" activeTab="7" xr2:uid="{00000000-000D-0000-FFFF-FFFF00000000}"/>
  </bookViews>
  <sheets>
    <sheet name="depo" sheetId="9" r:id="rId1"/>
    <sheet name="assets " sheetId="1" r:id="rId2"/>
    <sheet name="income " sheetId="2" r:id="rId3"/>
    <sheet name="expenditure" sheetId="8" r:id="rId4"/>
    <sheet name="Profit" sheetId="3" r:id="rId5"/>
    <sheet name="ratio" sheetId="4" r:id="rId6"/>
    <sheet name="ratio1" sheetId="6" r:id="rId7"/>
    <sheet name="ratio2" sheetId="11" r:id="rId8"/>
  </sheets>
  <definedNames>
    <definedName name="_xlnm._FilterDatabase" localSheetId="1" hidden="1">'assets '!$B$4:$L$50</definedName>
    <definedName name="_xlnm._FilterDatabase" localSheetId="0" hidden="1">depo!$B$4:$M$4</definedName>
    <definedName name="_xlnm._FilterDatabase" localSheetId="3" hidden="1">expenditure!$B$4:$L$50</definedName>
    <definedName name="_xlnm._FilterDatabase" localSheetId="2" hidden="1">'income '!$D$52:$L$53</definedName>
    <definedName name="_xlnm._FilterDatabase" localSheetId="4" hidden="1">Profit!$B$4:$L$50</definedName>
    <definedName name="_xlnm._FilterDatabase" localSheetId="5" hidden="1">ratio!$B$4:$L$50</definedName>
    <definedName name="_xlnm._FilterDatabase" localSheetId="6" hidden="1">ratio1!$B$4:$M$50</definedName>
    <definedName name="_xlnm._FilterDatabase" localSheetId="7" hidden="1">ratio2!$B$4:$M$50</definedName>
    <definedName name="_xlnm.Print_Area" localSheetId="1">'assets '!$B$1:$L$56</definedName>
    <definedName name="_xlnm.Print_Area" localSheetId="0">depo!$B$1:$L$58</definedName>
    <definedName name="_xlnm.Print_Area" localSheetId="3">expenditure!$B$1:$L$56</definedName>
    <definedName name="_xlnm.Print_Area" localSheetId="2">'income '!$B$1:$L$54</definedName>
    <definedName name="_xlnm.Print_Area" localSheetId="4">Profit!$A$1:$L$53</definedName>
    <definedName name="_xlnm.Print_Area" localSheetId="5">ratio!$B$1:$L$52</definedName>
    <definedName name="_xlnm.Print_Area" localSheetId="6">ratio1!$B$1:$L$54</definedName>
    <definedName name="_xlnm.Print_Area" localSheetId="7">ratio2!$B$1:$M$55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9" i="4" l="1"/>
  <c r="N33" i="2"/>
  <c r="P49" i="9"/>
  <c r="P48" i="9"/>
  <c r="P47" i="9"/>
  <c r="P46" i="9"/>
  <c r="P45" i="9"/>
  <c r="P44" i="9"/>
  <c r="P43" i="9"/>
  <c r="P42" i="9"/>
  <c r="P41" i="9"/>
  <c r="P40" i="9"/>
  <c r="P39" i="9"/>
  <c r="P38" i="9"/>
  <c r="P37" i="9"/>
  <c r="P36" i="9"/>
  <c r="P35" i="9"/>
  <c r="P34" i="9"/>
  <c r="P33" i="9"/>
  <c r="P32" i="9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7" i="9"/>
  <c r="P6" i="9"/>
  <c r="P5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O5" i="9"/>
  <c r="N5" i="9"/>
  <c r="N49" i="9"/>
  <c r="N48" i="9"/>
  <c r="N47" i="9"/>
  <c r="N46" i="9"/>
  <c r="N45" i="9"/>
  <c r="N44" i="9"/>
  <c r="N43" i="9"/>
  <c r="N42" i="9"/>
  <c r="N41" i="9"/>
  <c r="N40" i="9"/>
  <c r="N39" i="9"/>
  <c r="N38" i="9"/>
  <c r="N37" i="9"/>
  <c r="N36" i="9"/>
  <c r="N35" i="9"/>
  <c r="N34" i="9"/>
  <c r="N33" i="9"/>
  <c r="N32" i="9"/>
  <c r="N31" i="9"/>
  <c r="N30" i="9"/>
  <c r="N29" i="9"/>
  <c r="N28" i="9"/>
  <c r="N27" i="9"/>
  <c r="N26" i="9"/>
  <c r="N25" i="9"/>
  <c r="N24" i="9"/>
  <c r="N23" i="9"/>
  <c r="N22" i="9"/>
  <c r="N21" i="9"/>
  <c r="N20" i="9"/>
  <c r="N19" i="9"/>
  <c r="N18" i="9"/>
  <c r="N17" i="9"/>
  <c r="N16" i="9"/>
  <c r="N15" i="9"/>
  <c r="N14" i="9"/>
  <c r="N13" i="9"/>
  <c r="N12" i="9"/>
  <c r="N11" i="9"/>
  <c r="N10" i="9"/>
  <c r="N9" i="9"/>
  <c r="N8" i="9"/>
  <c r="N7" i="9"/>
  <c r="N6" i="9"/>
  <c r="N5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I50" i="3"/>
  <c r="H50" i="3"/>
  <c r="G50" i="3"/>
  <c r="F50" i="2"/>
  <c r="F53" i="2" s="1"/>
  <c r="E50" i="2"/>
  <c r="E53" i="2" s="1"/>
  <c r="D50" i="2"/>
  <c r="E52" i="9"/>
  <c r="L50" i="1"/>
  <c r="K50" i="1"/>
  <c r="J50" i="1"/>
  <c r="I50" i="1"/>
  <c r="H50" i="1"/>
  <c r="G50" i="1"/>
  <c r="F50" i="1"/>
  <c r="E50" i="1"/>
  <c r="D50" i="1"/>
  <c r="L50" i="9"/>
  <c r="K50" i="9"/>
  <c r="J50" i="9"/>
  <c r="K52" i="9" s="1"/>
  <c r="I50" i="9"/>
  <c r="H50" i="9"/>
  <c r="G50" i="9"/>
  <c r="F50" i="9"/>
  <c r="F52" i="9" s="1"/>
  <c r="E50" i="9"/>
  <c r="D50" i="9"/>
  <c r="I49" i="4"/>
  <c r="P6" i="11"/>
  <c r="Q6" i="11"/>
  <c r="P7" i="11"/>
  <c r="Q7" i="11"/>
  <c r="P8" i="11"/>
  <c r="Q8" i="11"/>
  <c r="O9" i="11"/>
  <c r="P9" i="11"/>
  <c r="Q9" i="11"/>
  <c r="O10" i="11"/>
  <c r="P10" i="11"/>
  <c r="Q10" i="11"/>
  <c r="P11" i="11"/>
  <c r="Q11" i="11"/>
  <c r="P12" i="11"/>
  <c r="Q12" i="11"/>
  <c r="P13" i="11"/>
  <c r="Q13" i="11"/>
  <c r="P14" i="11"/>
  <c r="Q14" i="11"/>
  <c r="O15" i="11"/>
  <c r="P15" i="11"/>
  <c r="Q15" i="11"/>
  <c r="P16" i="11"/>
  <c r="Q16" i="11"/>
  <c r="P17" i="11"/>
  <c r="Q17" i="11"/>
  <c r="P18" i="11"/>
  <c r="Q18" i="11"/>
  <c r="P19" i="11"/>
  <c r="Q19" i="11"/>
  <c r="P20" i="11"/>
  <c r="Q20" i="11"/>
  <c r="P21" i="11"/>
  <c r="Q21" i="11"/>
  <c r="P22" i="11"/>
  <c r="Q22" i="11"/>
  <c r="P23" i="11"/>
  <c r="Q23" i="11"/>
  <c r="P24" i="11"/>
  <c r="Q24" i="11"/>
  <c r="O25" i="11"/>
  <c r="P25" i="11"/>
  <c r="Q25" i="11"/>
  <c r="P26" i="11"/>
  <c r="Q26" i="11"/>
  <c r="P27" i="11"/>
  <c r="Q27" i="11"/>
  <c r="P28" i="11"/>
  <c r="Q28" i="11"/>
  <c r="P29" i="11"/>
  <c r="Q29" i="11"/>
  <c r="O30" i="11"/>
  <c r="P30" i="11"/>
  <c r="Q30" i="11"/>
  <c r="O31" i="11"/>
  <c r="P31" i="11"/>
  <c r="Q31" i="11"/>
  <c r="P32" i="11"/>
  <c r="Q32" i="11"/>
  <c r="O33" i="11"/>
  <c r="P33" i="11"/>
  <c r="Q33" i="11"/>
  <c r="P34" i="11"/>
  <c r="Q34" i="11"/>
  <c r="P35" i="11"/>
  <c r="Q35" i="11"/>
  <c r="P36" i="11"/>
  <c r="Q36" i="11"/>
  <c r="O37" i="11"/>
  <c r="P37" i="11"/>
  <c r="Q37" i="11"/>
  <c r="O38" i="11"/>
  <c r="P38" i="11"/>
  <c r="Q38" i="11"/>
  <c r="P39" i="11"/>
  <c r="Q39" i="11"/>
  <c r="O40" i="11"/>
  <c r="P40" i="11"/>
  <c r="Q40" i="11"/>
  <c r="P41" i="11"/>
  <c r="Q41" i="11"/>
  <c r="P42" i="11"/>
  <c r="Q42" i="11"/>
  <c r="O43" i="11"/>
  <c r="P43" i="11"/>
  <c r="Q43" i="11"/>
  <c r="P44" i="11"/>
  <c r="Q44" i="11"/>
  <c r="O45" i="11"/>
  <c r="P45" i="11"/>
  <c r="Q45" i="11"/>
  <c r="P46" i="11"/>
  <c r="Q46" i="11"/>
  <c r="P47" i="11"/>
  <c r="Q47" i="11"/>
  <c r="P48" i="11"/>
  <c r="Q48" i="11"/>
  <c r="O49" i="11"/>
  <c r="P49" i="11"/>
  <c r="Q49" i="11"/>
  <c r="Q5" i="11"/>
  <c r="P5" i="11"/>
  <c r="I50" i="4" l="1"/>
  <c r="F52" i="1"/>
  <c r="N50" i="1"/>
  <c r="E52" i="1"/>
  <c r="L52" i="9"/>
  <c r="H52" i="9"/>
  <c r="F50" i="4"/>
  <c r="F50" i="11"/>
  <c r="Q50" i="11" s="1"/>
  <c r="I52" i="9"/>
  <c r="H50" i="4"/>
  <c r="G50" i="4"/>
  <c r="I52" i="3"/>
  <c r="H52" i="3"/>
  <c r="I50" i="8"/>
  <c r="H50" i="8"/>
  <c r="H52" i="8" s="1"/>
  <c r="G50" i="8"/>
  <c r="F50" i="8"/>
  <c r="F52" i="8" s="1"/>
  <c r="E50" i="8"/>
  <c r="I50" i="2"/>
  <c r="H50" i="2"/>
  <c r="G50" i="2"/>
  <c r="H52" i="1"/>
  <c r="L45" i="4"/>
  <c r="I45" i="4"/>
  <c r="F45" i="4"/>
  <c r="L45" i="8"/>
  <c r="F45" i="6" s="1"/>
  <c r="L45" i="2"/>
  <c r="L9" i="4"/>
  <c r="I9" i="4"/>
  <c r="F9" i="4"/>
  <c r="L9" i="8"/>
  <c r="F9" i="6" s="1"/>
  <c r="L9" i="2"/>
  <c r="L20" i="4"/>
  <c r="I20" i="4"/>
  <c r="F20" i="4"/>
  <c r="L20" i="8"/>
  <c r="F20" i="6" s="1"/>
  <c r="L20" i="2"/>
  <c r="I52" i="8" l="1"/>
  <c r="L50" i="4"/>
  <c r="K50" i="4"/>
  <c r="F20" i="3"/>
  <c r="L20" i="3" s="1"/>
  <c r="H53" i="2"/>
  <c r="I53" i="2"/>
  <c r="F9" i="3"/>
  <c r="F45" i="3"/>
  <c r="L45" i="3" s="1"/>
  <c r="I52" i="1"/>
  <c r="K52" i="1"/>
  <c r="L52" i="1"/>
  <c r="L17" i="4"/>
  <c r="I17" i="4"/>
  <c r="F17" i="4"/>
  <c r="L17" i="8"/>
  <c r="F17" i="6" s="1"/>
  <c r="L17" i="2"/>
  <c r="F17" i="3" l="1"/>
  <c r="L17" i="3" s="1"/>
  <c r="L24" i="4"/>
  <c r="I24" i="4"/>
  <c r="F24" i="4"/>
  <c r="L24" i="8"/>
  <c r="F24" i="6" s="1"/>
  <c r="L24" i="2"/>
  <c r="L31" i="4"/>
  <c r="I31" i="4"/>
  <c r="F31" i="4"/>
  <c r="L31" i="8"/>
  <c r="L31" i="2"/>
  <c r="L37" i="4"/>
  <c r="L37" i="8"/>
  <c r="F37" i="6" s="1"/>
  <c r="L37" i="2"/>
  <c r="L12" i="4"/>
  <c r="I12" i="4"/>
  <c r="F12" i="4"/>
  <c r="L12" i="8"/>
  <c r="F12" i="6" s="1"/>
  <c r="L12" i="2"/>
  <c r="L42" i="4"/>
  <c r="I42" i="4"/>
  <c r="F42" i="4"/>
  <c r="L42" i="8"/>
  <c r="F42" i="6" s="1"/>
  <c r="L42" i="2"/>
  <c r="L11" i="4"/>
  <c r="I11" i="4"/>
  <c r="F11" i="4"/>
  <c r="L11" i="8"/>
  <c r="F11" i="6" s="1"/>
  <c r="L11" i="2"/>
  <c r="L43" i="4"/>
  <c r="I43" i="4"/>
  <c r="F43" i="4"/>
  <c r="L43" i="8"/>
  <c r="F43" i="6" s="1"/>
  <c r="L43" i="2"/>
  <c r="L40" i="4"/>
  <c r="I40" i="4"/>
  <c r="F40" i="4"/>
  <c r="L40" i="8"/>
  <c r="F40" i="6" s="1"/>
  <c r="L40" i="2"/>
  <c r="L46" i="4"/>
  <c r="I46" i="4"/>
  <c r="F46" i="4"/>
  <c r="L46" i="8"/>
  <c r="F46" i="6" s="1"/>
  <c r="L46" i="2"/>
  <c r="L18" i="4"/>
  <c r="I18" i="4"/>
  <c r="F18" i="4"/>
  <c r="L18" i="8"/>
  <c r="F18" i="6" s="1"/>
  <c r="L18" i="2"/>
  <c r="L25" i="4"/>
  <c r="L25" i="8"/>
  <c r="F25" i="6" s="1"/>
  <c r="L25" i="2"/>
  <c r="L28" i="4"/>
  <c r="I28" i="4"/>
  <c r="F28" i="4"/>
  <c r="L28" i="8"/>
  <c r="F28" i="6" s="1"/>
  <c r="L28" i="2"/>
  <c r="L49" i="4"/>
  <c r="L49" i="8"/>
  <c r="F49" i="6" s="1"/>
  <c r="L49" i="2"/>
  <c r="L15" i="4"/>
  <c r="I15" i="4"/>
  <c r="F15" i="4"/>
  <c r="L15" i="8"/>
  <c r="F15" i="6" s="1"/>
  <c r="L15" i="2"/>
  <c r="L36" i="4"/>
  <c r="I36" i="4"/>
  <c r="F36" i="4"/>
  <c r="L36" i="8"/>
  <c r="F36" i="6" s="1"/>
  <c r="L36" i="2"/>
  <c r="L16" i="4"/>
  <c r="L16" i="8"/>
  <c r="F16" i="6" s="1"/>
  <c r="L16" i="2"/>
  <c r="L47" i="4"/>
  <c r="I47" i="4"/>
  <c r="F47" i="4"/>
  <c r="L47" i="8"/>
  <c r="F47" i="6" s="1"/>
  <c r="L47" i="2"/>
  <c r="L39" i="4"/>
  <c r="I39" i="4"/>
  <c r="F39" i="4"/>
  <c r="L39" i="8"/>
  <c r="F39" i="6" s="1"/>
  <c r="L39" i="2"/>
  <c r="L22" i="4"/>
  <c r="I22" i="4"/>
  <c r="F22" i="4"/>
  <c r="L22" i="8"/>
  <c r="F22" i="6" s="1"/>
  <c r="L22" i="2"/>
  <c r="L8" i="4"/>
  <c r="I8" i="4"/>
  <c r="F8" i="4"/>
  <c r="L8" i="8"/>
  <c r="F8" i="6" s="1"/>
  <c r="L8" i="2"/>
  <c r="L5" i="4"/>
  <c r="I5" i="4"/>
  <c r="F5" i="4"/>
  <c r="L5" i="8"/>
  <c r="L5" i="2"/>
  <c r="L23" i="4"/>
  <c r="I23" i="4"/>
  <c r="F23" i="4"/>
  <c r="L23" i="8"/>
  <c r="F23" i="6" s="1"/>
  <c r="L23" i="2"/>
  <c r="L14" i="4"/>
  <c r="I14" i="4"/>
  <c r="F14" i="4"/>
  <c r="L14" i="8"/>
  <c r="F14" i="6" s="1"/>
  <c r="L14" i="2"/>
  <c r="L34" i="4"/>
  <c r="I34" i="4"/>
  <c r="F34" i="4"/>
  <c r="L34" i="8"/>
  <c r="F34" i="6" s="1"/>
  <c r="L34" i="2"/>
  <c r="L21" i="4"/>
  <c r="I21" i="4"/>
  <c r="F21" i="4"/>
  <c r="L21" i="8"/>
  <c r="F21" i="6" s="1"/>
  <c r="L21" i="2"/>
  <c r="L30" i="4"/>
  <c r="I30" i="4"/>
  <c r="F30" i="4"/>
  <c r="L30" i="8"/>
  <c r="F30" i="6" s="1"/>
  <c r="L30" i="2"/>
  <c r="L38" i="4"/>
  <c r="I38" i="4"/>
  <c r="F38" i="4"/>
  <c r="L38" i="8"/>
  <c r="F38" i="6" s="1"/>
  <c r="L38" i="2"/>
  <c r="L32" i="4"/>
  <c r="I32" i="4"/>
  <c r="F32" i="4"/>
  <c r="L32" i="8"/>
  <c r="F32" i="6" s="1"/>
  <c r="L32" i="2"/>
  <c r="L10" i="4"/>
  <c r="I10" i="4"/>
  <c r="F10" i="4"/>
  <c r="L10" i="8"/>
  <c r="F10" i="6" s="1"/>
  <c r="L10" i="2"/>
  <c r="L6" i="4"/>
  <c r="I6" i="4"/>
  <c r="F6" i="4"/>
  <c r="L6" i="8"/>
  <c r="F6" i="6" s="1"/>
  <c r="L6" i="2"/>
  <c r="F24" i="3" l="1"/>
  <c r="L24" i="3" s="1"/>
  <c r="F12" i="3"/>
  <c r="L12" i="3" s="1"/>
  <c r="F5" i="6"/>
  <c r="F25" i="3"/>
  <c r="L25" i="3" s="1"/>
  <c r="F31" i="3"/>
  <c r="L31" i="3" s="1"/>
  <c r="F46" i="3"/>
  <c r="L46" i="3" s="1"/>
  <c r="F31" i="6"/>
  <c r="F37" i="3"/>
  <c r="L37" i="3" s="1"/>
  <c r="F42" i="3"/>
  <c r="L42" i="3" s="1"/>
  <c r="F43" i="3"/>
  <c r="L43" i="3" s="1"/>
  <c r="F11" i="3"/>
  <c r="L11" i="3" s="1"/>
  <c r="F49" i="3"/>
  <c r="L49" i="3" s="1"/>
  <c r="F40" i="3"/>
  <c r="L40" i="3" s="1"/>
  <c r="F18" i="3"/>
  <c r="L18" i="3" s="1"/>
  <c r="F28" i="3"/>
  <c r="F15" i="3"/>
  <c r="L15" i="3" s="1"/>
  <c r="F16" i="3"/>
  <c r="L16" i="3" s="1"/>
  <c r="F36" i="3"/>
  <c r="L36" i="3" s="1"/>
  <c r="F47" i="3"/>
  <c r="L47" i="3" s="1"/>
  <c r="F39" i="3"/>
  <c r="L39" i="3" s="1"/>
  <c r="F14" i="3"/>
  <c r="L14" i="3" s="1"/>
  <c r="F22" i="3"/>
  <c r="L22" i="3" s="1"/>
  <c r="F8" i="3"/>
  <c r="L8" i="3" s="1"/>
  <c r="F21" i="3"/>
  <c r="L21" i="3" s="1"/>
  <c r="F5" i="3"/>
  <c r="F23" i="3"/>
  <c r="L23" i="3" s="1"/>
  <c r="F34" i="3"/>
  <c r="L34" i="3" s="1"/>
  <c r="F6" i="3"/>
  <c r="L6" i="3" s="1"/>
  <c r="F10" i="3"/>
  <c r="L10" i="3" s="1"/>
  <c r="F32" i="3"/>
  <c r="L32" i="3" s="1"/>
  <c r="F30" i="3"/>
  <c r="L30" i="3" s="1"/>
  <c r="F38" i="3"/>
  <c r="L38" i="3" s="1"/>
  <c r="L48" i="4"/>
  <c r="I48" i="4"/>
  <c r="F48" i="4"/>
  <c r="L48" i="8"/>
  <c r="F48" i="6" s="1"/>
  <c r="L48" i="2"/>
  <c r="L44" i="4"/>
  <c r="I44" i="4"/>
  <c r="F44" i="4"/>
  <c r="L44" i="8"/>
  <c r="F44" i="6" s="1"/>
  <c r="L44" i="2"/>
  <c r="L29" i="4"/>
  <c r="I29" i="4"/>
  <c r="F29" i="4"/>
  <c r="L29" i="8"/>
  <c r="F29" i="6" s="1"/>
  <c r="L29" i="2"/>
  <c r="L13" i="4"/>
  <c r="I13" i="4"/>
  <c r="F13" i="4"/>
  <c r="L13" i="8"/>
  <c r="F13" i="6" s="1"/>
  <c r="L13" i="2"/>
  <c r="L19" i="4"/>
  <c r="I19" i="4"/>
  <c r="F19" i="4"/>
  <c r="L19" i="8"/>
  <c r="F19" i="6" s="1"/>
  <c r="L19" i="2"/>
  <c r="L35" i="4"/>
  <c r="I35" i="4"/>
  <c r="F35" i="4"/>
  <c r="L35" i="8"/>
  <c r="F35" i="6" s="1"/>
  <c r="L35" i="2"/>
  <c r="L27" i="4"/>
  <c r="I27" i="4"/>
  <c r="F27" i="4"/>
  <c r="L27" i="8"/>
  <c r="F27" i="6" s="1"/>
  <c r="L27" i="2"/>
  <c r="L7" i="4"/>
  <c r="I7" i="4"/>
  <c r="F7" i="4"/>
  <c r="L7" i="8"/>
  <c r="F7" i="6" s="1"/>
  <c r="L7" i="2"/>
  <c r="L26" i="4"/>
  <c r="I26" i="4"/>
  <c r="F26" i="4"/>
  <c r="L26" i="8"/>
  <c r="F26" i="6" s="1"/>
  <c r="L26" i="2"/>
  <c r="J32" i="2"/>
  <c r="K38" i="4"/>
  <c r="H38" i="4"/>
  <c r="K38" i="8"/>
  <c r="E38" i="6" s="1"/>
  <c r="K38" i="2"/>
  <c r="N38" i="2" s="1"/>
  <c r="D50" i="8"/>
  <c r="E52" i="8" s="1"/>
  <c r="L50" i="2" l="1"/>
  <c r="L50" i="8"/>
  <c r="L5" i="3"/>
  <c r="F35" i="3"/>
  <c r="L35" i="3" s="1"/>
  <c r="F26" i="3"/>
  <c r="L26" i="3" s="1"/>
  <c r="F19" i="3"/>
  <c r="L19" i="3" s="1"/>
  <c r="F29" i="3"/>
  <c r="L29" i="3" s="1"/>
  <c r="F27" i="3"/>
  <c r="L27" i="3" s="1"/>
  <c r="F48" i="3"/>
  <c r="F44" i="3"/>
  <c r="L44" i="3" s="1"/>
  <c r="F7" i="3"/>
  <c r="F13" i="3"/>
  <c r="L13" i="3" s="1"/>
  <c r="E38" i="3"/>
  <c r="K55" i="1"/>
  <c r="J55" i="1"/>
  <c r="H55" i="1"/>
  <c r="G55" i="1"/>
  <c r="E50" i="11"/>
  <c r="P50" i="11" s="1"/>
  <c r="K15" i="8"/>
  <c r="K15" i="2"/>
  <c r="N15" i="2" s="1"/>
  <c r="E49" i="4"/>
  <c r="E48" i="4"/>
  <c r="E47" i="4"/>
  <c r="E46" i="4"/>
  <c r="E45" i="4"/>
  <c r="E44" i="4"/>
  <c r="E43" i="4"/>
  <c r="E42" i="4"/>
  <c r="E41" i="4"/>
  <c r="E40" i="4"/>
  <c r="E39" i="4"/>
  <c r="E36" i="4"/>
  <c r="E35" i="4"/>
  <c r="K41" i="4"/>
  <c r="H41" i="4"/>
  <c r="K41" i="8"/>
  <c r="K41" i="2"/>
  <c r="N41" i="2" s="1"/>
  <c r="K18" i="8"/>
  <c r="K18" i="2"/>
  <c r="N18" i="2" s="1"/>
  <c r="F50" i="6" l="1"/>
  <c r="F50" i="3"/>
  <c r="L50" i="3"/>
  <c r="K38" i="3"/>
  <c r="D55" i="1"/>
  <c r="E18" i="6"/>
  <c r="E41" i="6"/>
  <c r="E15" i="3"/>
  <c r="E15" i="6"/>
  <c r="E41" i="3"/>
  <c r="E18" i="3"/>
  <c r="K5" i="8"/>
  <c r="K5" i="2"/>
  <c r="K11" i="8"/>
  <c r="K11" i="2"/>
  <c r="N11" i="2" s="1"/>
  <c r="K8" i="8"/>
  <c r="K8" i="2"/>
  <c r="N8" i="2" s="1"/>
  <c r="K45" i="8"/>
  <c r="K45" i="2"/>
  <c r="N45" i="2" s="1"/>
  <c r="K9" i="8"/>
  <c r="K9" i="2"/>
  <c r="N9" i="2" s="1"/>
  <c r="K28" i="8"/>
  <c r="K28" i="2"/>
  <c r="N28" i="2" s="1"/>
  <c r="K40" i="8"/>
  <c r="K40" i="2"/>
  <c r="N40" i="2" s="1"/>
  <c r="K24" i="8"/>
  <c r="K24" i="2"/>
  <c r="N24" i="2" s="1"/>
  <c r="K31" i="8"/>
  <c r="K31" i="2"/>
  <c r="N31" i="2" s="1"/>
  <c r="K49" i="8"/>
  <c r="K49" i="2"/>
  <c r="N49" i="2" s="1"/>
  <c r="K25" i="8"/>
  <c r="K25" i="2"/>
  <c r="N25" i="2" s="1"/>
  <c r="K17" i="8"/>
  <c r="K17" i="2"/>
  <c r="N17" i="2" s="1"/>
  <c r="K37" i="8"/>
  <c r="K37" i="2"/>
  <c r="N37" i="2" s="1"/>
  <c r="K22" i="8"/>
  <c r="K22" i="2"/>
  <c r="N22" i="2" s="1"/>
  <c r="K23" i="8"/>
  <c r="K23" i="2"/>
  <c r="N23" i="2" s="1"/>
  <c r="N5" i="2" l="1"/>
  <c r="K15" i="3"/>
  <c r="K18" i="3"/>
  <c r="E11" i="6"/>
  <c r="E37" i="6"/>
  <c r="E9" i="6"/>
  <c r="E23" i="6"/>
  <c r="E25" i="6"/>
  <c r="E40" i="6"/>
  <c r="E8" i="6"/>
  <c r="E22" i="6"/>
  <c r="E49" i="6"/>
  <c r="E28" i="6"/>
  <c r="E17" i="6"/>
  <c r="E45" i="6"/>
  <c r="E31" i="6"/>
  <c r="E5" i="6"/>
  <c r="E24" i="6"/>
  <c r="E5" i="3"/>
  <c r="E49" i="3"/>
  <c r="E28" i="3"/>
  <c r="E11" i="3"/>
  <c r="E9" i="3"/>
  <c r="E45" i="3"/>
  <c r="E24" i="3"/>
  <c r="E31" i="3"/>
  <c r="E25" i="3"/>
  <c r="E40" i="3"/>
  <c r="E8" i="3"/>
  <c r="E22" i="3"/>
  <c r="E17" i="3"/>
  <c r="E23" i="3"/>
  <c r="E37" i="3"/>
  <c r="K34" i="8"/>
  <c r="K34" i="2"/>
  <c r="N34" i="2" s="1"/>
  <c r="K9" i="3" l="1"/>
  <c r="K17" i="3"/>
  <c r="K22" i="3"/>
  <c r="K40" i="3"/>
  <c r="K5" i="3"/>
  <c r="K11" i="3"/>
  <c r="K8" i="3"/>
  <c r="K49" i="3"/>
  <c r="K25" i="3"/>
  <c r="K31" i="3"/>
  <c r="K37" i="3"/>
  <c r="K24" i="3"/>
  <c r="K23" i="3"/>
  <c r="K45" i="3"/>
  <c r="E34" i="6"/>
  <c r="E34" i="3"/>
  <c r="K39" i="8"/>
  <c r="K39" i="2"/>
  <c r="N39" i="2" s="1"/>
  <c r="K34" i="3" l="1"/>
  <c r="E39" i="6"/>
  <c r="E39" i="3"/>
  <c r="K48" i="8"/>
  <c r="K48" i="2"/>
  <c r="N48" i="2" s="1"/>
  <c r="K12" i="8"/>
  <c r="K12" i="2"/>
  <c r="N12" i="2" s="1"/>
  <c r="K39" i="3" l="1"/>
  <c r="E12" i="6"/>
  <c r="E48" i="6"/>
  <c r="E48" i="3"/>
  <c r="E12" i="3"/>
  <c r="K49" i="4"/>
  <c r="K48" i="4"/>
  <c r="K47" i="4"/>
  <c r="K46" i="4"/>
  <c r="K45" i="4"/>
  <c r="K44" i="4"/>
  <c r="K43" i="4"/>
  <c r="K42" i="4"/>
  <c r="K40" i="4"/>
  <c r="K39" i="4"/>
  <c r="K37" i="4"/>
  <c r="K36" i="4"/>
  <c r="K35" i="4"/>
  <c r="K34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H49" i="4"/>
  <c r="H48" i="4"/>
  <c r="H47" i="4"/>
  <c r="H46" i="4"/>
  <c r="H45" i="4"/>
  <c r="H44" i="4"/>
  <c r="H43" i="4"/>
  <c r="H42" i="4"/>
  <c r="H40" i="4"/>
  <c r="H39" i="4"/>
  <c r="H36" i="4"/>
  <c r="H35" i="4"/>
  <c r="H34" i="4"/>
  <c r="H32" i="4"/>
  <c r="H31" i="4"/>
  <c r="H30" i="4"/>
  <c r="H29" i="4"/>
  <c r="H28" i="4"/>
  <c r="H27" i="4"/>
  <c r="H26" i="4"/>
  <c r="H24" i="4"/>
  <c r="H23" i="4"/>
  <c r="H22" i="4"/>
  <c r="H21" i="4"/>
  <c r="H20" i="4"/>
  <c r="H19" i="4"/>
  <c r="H18" i="4"/>
  <c r="H17" i="4"/>
  <c r="H15" i="4"/>
  <c r="H14" i="4"/>
  <c r="H13" i="4"/>
  <c r="H12" i="4"/>
  <c r="H11" i="4"/>
  <c r="H10" i="4"/>
  <c r="H9" i="4"/>
  <c r="H8" i="4"/>
  <c r="H7" i="4"/>
  <c r="H6" i="4"/>
  <c r="H5" i="4"/>
  <c r="E34" i="4"/>
  <c r="E32" i="4"/>
  <c r="E31" i="4"/>
  <c r="E30" i="4"/>
  <c r="E29" i="4"/>
  <c r="E28" i="4"/>
  <c r="E27" i="4"/>
  <c r="E26" i="4"/>
  <c r="E24" i="4"/>
  <c r="E23" i="4"/>
  <c r="E22" i="4"/>
  <c r="E21" i="4"/>
  <c r="E20" i="4"/>
  <c r="E19" i="4"/>
  <c r="E18" i="4"/>
  <c r="E17" i="4"/>
  <c r="E15" i="4"/>
  <c r="E14" i="4"/>
  <c r="E13" i="4"/>
  <c r="E12" i="4"/>
  <c r="E11" i="4"/>
  <c r="E10" i="4"/>
  <c r="E9" i="4"/>
  <c r="E8" i="4"/>
  <c r="E7" i="4"/>
  <c r="E6" i="4"/>
  <c r="E5" i="4"/>
  <c r="K46" i="8"/>
  <c r="K46" i="2"/>
  <c r="N46" i="2" s="1"/>
  <c r="K43" i="8"/>
  <c r="K43" i="2"/>
  <c r="N43" i="2" s="1"/>
  <c r="K36" i="8"/>
  <c r="K36" i="2"/>
  <c r="N36" i="2" s="1"/>
  <c r="K35" i="8"/>
  <c r="K35" i="2"/>
  <c r="N35" i="2" s="1"/>
  <c r="K20" i="8"/>
  <c r="K20" i="2"/>
  <c r="N20" i="2" s="1"/>
  <c r="K44" i="8"/>
  <c r="K44" i="2"/>
  <c r="N44" i="2" s="1"/>
  <c r="K42" i="8"/>
  <c r="K42" i="2"/>
  <c r="N42" i="2" s="1"/>
  <c r="K16" i="8"/>
  <c r="K16" i="2"/>
  <c r="N16" i="2" s="1"/>
  <c r="K29" i="8"/>
  <c r="K29" i="2"/>
  <c r="N29" i="2" s="1"/>
  <c r="K19" i="8"/>
  <c r="K19" i="2"/>
  <c r="N19" i="2" s="1"/>
  <c r="K14" i="8"/>
  <c r="K14" i="2"/>
  <c r="N14" i="2" s="1"/>
  <c r="K13" i="8"/>
  <c r="K13" i="2"/>
  <c r="N13" i="2" s="1"/>
  <c r="K7" i="8"/>
  <c r="K7" i="2"/>
  <c r="N7" i="2" s="1"/>
  <c r="K32" i="8"/>
  <c r="K32" i="2"/>
  <c r="N32" i="2" s="1"/>
  <c r="K6" i="8"/>
  <c r="K6" i="2"/>
  <c r="K10" i="8"/>
  <c r="K10" i="2"/>
  <c r="N10" i="2" s="1"/>
  <c r="K27" i="8"/>
  <c r="K27" i="2"/>
  <c r="N27" i="2" s="1"/>
  <c r="K26" i="8"/>
  <c r="K26" i="2"/>
  <c r="N26" i="2" s="1"/>
  <c r="K47" i="8"/>
  <c r="K47" i="2"/>
  <c r="N47" i="2" s="1"/>
  <c r="K30" i="8"/>
  <c r="K30" i="2"/>
  <c r="N30" i="2" s="1"/>
  <c r="K21" i="8"/>
  <c r="K21" i="2"/>
  <c r="N21" i="2" s="1"/>
  <c r="J45" i="4"/>
  <c r="G45" i="4"/>
  <c r="D45" i="4"/>
  <c r="J45" i="8"/>
  <c r="J45" i="2"/>
  <c r="J15" i="4"/>
  <c r="G15" i="4"/>
  <c r="D15" i="4"/>
  <c r="J15" i="8"/>
  <c r="J15" i="2"/>
  <c r="J49" i="4"/>
  <c r="G49" i="4"/>
  <c r="D49" i="4"/>
  <c r="J49" i="8"/>
  <c r="J49" i="2"/>
  <c r="N6" i="2" l="1"/>
  <c r="K50" i="2"/>
  <c r="K50" i="8"/>
  <c r="E46" i="6"/>
  <c r="K48" i="3"/>
  <c r="E27" i="3"/>
  <c r="D45" i="3"/>
  <c r="E30" i="3"/>
  <c r="E10" i="3"/>
  <c r="E35" i="3"/>
  <c r="K12" i="3"/>
  <c r="E55" i="1"/>
  <c r="D49" i="6"/>
  <c r="E21" i="6"/>
  <c r="E27" i="6"/>
  <c r="E20" i="6"/>
  <c r="D45" i="6"/>
  <c r="E30" i="6"/>
  <c r="E10" i="6"/>
  <c r="E13" i="6"/>
  <c r="E16" i="6"/>
  <c r="E35" i="6"/>
  <c r="E7" i="6"/>
  <c r="E42" i="6"/>
  <c r="E29" i="6"/>
  <c r="E47" i="6"/>
  <c r="E6" i="6"/>
  <c r="E14" i="6"/>
  <c r="E36" i="6"/>
  <c r="D15" i="6"/>
  <c r="E26" i="6"/>
  <c r="E32" i="6"/>
  <c r="E19" i="6"/>
  <c r="E44" i="6"/>
  <c r="E43" i="6"/>
  <c r="E29" i="3"/>
  <c r="E20" i="3"/>
  <c r="H54" i="3"/>
  <c r="E46" i="3"/>
  <c r="E47" i="3"/>
  <c r="E50" i="4"/>
  <c r="E36" i="3"/>
  <c r="E43" i="3"/>
  <c r="E13" i="3"/>
  <c r="E6" i="3"/>
  <c r="E26" i="3"/>
  <c r="E16" i="3"/>
  <c r="E32" i="3"/>
  <c r="E14" i="3"/>
  <c r="E42" i="3"/>
  <c r="E7" i="3"/>
  <c r="E19" i="3"/>
  <c r="E44" i="3"/>
  <c r="E21" i="3"/>
  <c r="D15" i="3"/>
  <c r="D49" i="3"/>
  <c r="D39" i="11"/>
  <c r="O39" i="11" s="1"/>
  <c r="J39" i="4"/>
  <c r="G39" i="4"/>
  <c r="D39" i="4"/>
  <c r="J39" i="8"/>
  <c r="J39" i="2"/>
  <c r="J30" i="4"/>
  <c r="G30" i="4"/>
  <c r="D30" i="4"/>
  <c r="J30" i="8"/>
  <c r="J30" i="2"/>
  <c r="J33" i="4"/>
  <c r="J33" i="8"/>
  <c r="J33" i="2"/>
  <c r="J40" i="4"/>
  <c r="G40" i="4"/>
  <c r="D40" i="4"/>
  <c r="J40" i="8"/>
  <c r="J40" i="2"/>
  <c r="D35" i="11"/>
  <c r="O35" i="11" s="1"/>
  <c r="J35" i="4"/>
  <c r="G35" i="4"/>
  <c r="D35" i="4"/>
  <c r="J35" i="8"/>
  <c r="J35" i="2"/>
  <c r="J31" i="4"/>
  <c r="G31" i="4"/>
  <c r="D31" i="4"/>
  <c r="J31" i="8"/>
  <c r="J31" i="2"/>
  <c r="J25" i="8"/>
  <c r="J25" i="2"/>
  <c r="J23" i="8"/>
  <c r="J23" i="2"/>
  <c r="J41" i="8"/>
  <c r="J41" i="2"/>
  <c r="J37" i="8"/>
  <c r="J37" i="2"/>
  <c r="J8" i="8"/>
  <c r="J8" i="2"/>
  <c r="J10" i="8"/>
  <c r="J10" i="2"/>
  <c r="J32" i="8"/>
  <c r="J22" i="8"/>
  <c r="J22" i="2"/>
  <c r="J9" i="8"/>
  <c r="J9" i="2"/>
  <c r="J21" i="8"/>
  <c r="J21" i="2"/>
  <c r="J48" i="8"/>
  <c r="J48" i="2"/>
  <c r="J28" i="8"/>
  <c r="J28" i="2"/>
  <c r="J27" i="8"/>
  <c r="J27" i="2"/>
  <c r="J17" i="8"/>
  <c r="J17" i="2"/>
  <c r="J14" i="8"/>
  <c r="J14" i="2"/>
  <c r="J6" i="8"/>
  <c r="J6" i="2"/>
  <c r="G29" i="4"/>
  <c r="J29" i="8"/>
  <c r="J29" i="2"/>
  <c r="J34" i="8"/>
  <c r="J34" i="2"/>
  <c r="J18" i="8"/>
  <c r="J18" i="2"/>
  <c r="J11" i="8"/>
  <c r="J11" i="2"/>
  <c r="J5" i="8"/>
  <c r="J5" i="2"/>
  <c r="J44" i="8"/>
  <c r="J44" i="2"/>
  <c r="J47" i="8"/>
  <c r="J47" i="2"/>
  <c r="L52" i="8" l="1"/>
  <c r="E50" i="3"/>
  <c r="L53" i="2"/>
  <c r="N50" i="2"/>
  <c r="E50" i="6"/>
  <c r="K10" i="3"/>
  <c r="J49" i="3"/>
  <c r="K29" i="3"/>
  <c r="K46" i="3"/>
  <c r="K30" i="3"/>
  <c r="J45" i="3"/>
  <c r="K20" i="3"/>
  <c r="J15" i="3"/>
  <c r="K35" i="3"/>
  <c r="D30" i="6"/>
  <c r="D31" i="6"/>
  <c r="D39" i="6"/>
  <c r="D40" i="6"/>
  <c r="D33" i="6"/>
  <c r="D35" i="6"/>
  <c r="G54" i="3"/>
  <c r="E53" i="8"/>
  <c r="G53" i="8"/>
  <c r="H53" i="8"/>
  <c r="K16" i="3"/>
  <c r="K19" i="3"/>
  <c r="K32" i="3"/>
  <c r="K21" i="3"/>
  <c r="K26" i="3"/>
  <c r="K44" i="3"/>
  <c r="K27" i="3"/>
  <c r="K42" i="3"/>
  <c r="K43" i="3"/>
  <c r="K6" i="3"/>
  <c r="K47" i="3"/>
  <c r="K7" i="3"/>
  <c r="K14" i="3"/>
  <c r="K36" i="3"/>
  <c r="G52" i="2"/>
  <c r="D17" i="3"/>
  <c r="D39" i="3"/>
  <c r="D30" i="3"/>
  <c r="D40" i="3"/>
  <c r="D22" i="3"/>
  <c r="D11" i="3"/>
  <c r="D33" i="3"/>
  <c r="D44" i="3"/>
  <c r="D34" i="3"/>
  <c r="D32" i="3"/>
  <c r="D35" i="3"/>
  <c r="D31" i="3"/>
  <c r="D10" i="3"/>
  <c r="D21" i="3"/>
  <c r="D28" i="3"/>
  <c r="D14" i="3"/>
  <c r="D6" i="3"/>
  <c r="D5" i="3"/>
  <c r="D29" i="3"/>
  <c r="D27" i="3"/>
  <c r="D23" i="3"/>
  <c r="D8" i="3"/>
  <c r="D37" i="3"/>
  <c r="D18" i="3"/>
  <c r="D9" i="3"/>
  <c r="D41" i="3"/>
  <c r="J50" i="4"/>
  <c r="D48" i="3"/>
  <c r="D25" i="3"/>
  <c r="D47" i="3"/>
  <c r="J42" i="8"/>
  <c r="J43" i="8"/>
  <c r="J43" i="2"/>
  <c r="K50" i="3" l="1"/>
  <c r="F52" i="3"/>
  <c r="J37" i="3"/>
  <c r="J33" i="3"/>
  <c r="J47" i="3"/>
  <c r="J11" i="3"/>
  <c r="J23" i="3"/>
  <c r="J22" i="3"/>
  <c r="J40" i="3"/>
  <c r="J35" i="3"/>
  <c r="J30" i="3"/>
  <c r="J28" i="3"/>
  <c r="J8" i="3"/>
  <c r="J25" i="3"/>
  <c r="J10" i="3"/>
  <c r="J48" i="3"/>
  <c r="J41" i="3"/>
  <c r="J32" i="3"/>
  <c r="J21" i="3"/>
  <c r="J27" i="3"/>
  <c r="J31" i="3"/>
  <c r="J29" i="3"/>
  <c r="J39" i="3"/>
  <c r="J9" i="3"/>
  <c r="J6" i="3"/>
  <c r="J34" i="3"/>
  <c r="J17" i="3"/>
  <c r="J18" i="3"/>
  <c r="J14" i="3"/>
  <c r="J44" i="3"/>
  <c r="J5" i="3"/>
  <c r="D43" i="3"/>
  <c r="J12" i="8"/>
  <c r="J12" i="2"/>
  <c r="L52" i="3" l="1"/>
  <c r="J43" i="3"/>
  <c r="E57" i="9"/>
  <c r="H57" i="9"/>
  <c r="G57" i="9"/>
  <c r="J57" i="9"/>
  <c r="K57" i="9"/>
  <c r="D50" i="11"/>
  <c r="O50" i="11" s="1"/>
  <c r="D12" i="3"/>
  <c r="J46" i="8"/>
  <c r="J46" i="2"/>
  <c r="J12" i="3" l="1"/>
  <c r="D46" i="3"/>
  <c r="J42" i="2"/>
  <c r="J46" i="3" l="1"/>
  <c r="D42" i="3"/>
  <c r="J36" i="8"/>
  <c r="J36" i="2"/>
  <c r="J42" i="3" l="1"/>
  <c r="D36" i="3"/>
  <c r="J26" i="8"/>
  <c r="J26" i="2"/>
  <c r="J36" i="3" l="1"/>
  <c r="D26" i="3"/>
  <c r="J16" i="8"/>
  <c r="J16" i="2"/>
  <c r="J24" i="8"/>
  <c r="J24" i="2"/>
  <c r="J20" i="8"/>
  <c r="J20" i="2"/>
  <c r="J13" i="8"/>
  <c r="J13" i="2"/>
  <c r="J19" i="8"/>
  <c r="J19" i="2"/>
  <c r="D48" i="11"/>
  <c r="O48" i="11" s="1"/>
  <c r="D47" i="11"/>
  <c r="O47" i="11" s="1"/>
  <c r="D46" i="11"/>
  <c r="O46" i="11" s="1"/>
  <c r="D44" i="11"/>
  <c r="O44" i="11" s="1"/>
  <c r="D42" i="11"/>
  <c r="O42" i="11" s="1"/>
  <c r="D41" i="11"/>
  <c r="O41" i="11" s="1"/>
  <c r="D36" i="11"/>
  <c r="O36" i="11" s="1"/>
  <c r="D34" i="11"/>
  <c r="O34" i="11" s="1"/>
  <c r="D32" i="11"/>
  <c r="O32" i="11" s="1"/>
  <c r="D29" i="11"/>
  <c r="O29" i="11" s="1"/>
  <c r="D28" i="11"/>
  <c r="O28" i="11" s="1"/>
  <c r="D27" i="11"/>
  <c r="O27" i="11" s="1"/>
  <c r="D26" i="11"/>
  <c r="O26" i="11" s="1"/>
  <c r="D24" i="11"/>
  <c r="O24" i="11" s="1"/>
  <c r="D23" i="11"/>
  <c r="O23" i="11" s="1"/>
  <c r="D22" i="11"/>
  <c r="O22" i="11" s="1"/>
  <c r="D21" i="11"/>
  <c r="O21" i="11" s="1"/>
  <c r="D20" i="11"/>
  <c r="O20" i="11" s="1"/>
  <c r="D19" i="11"/>
  <c r="O19" i="11" s="1"/>
  <c r="D18" i="11"/>
  <c r="O18" i="11" s="1"/>
  <c r="D17" i="11"/>
  <c r="O17" i="11" s="1"/>
  <c r="D16" i="11"/>
  <c r="O16" i="11" s="1"/>
  <c r="D14" i="11"/>
  <c r="O14" i="11" s="1"/>
  <c r="D13" i="11"/>
  <c r="O13" i="11" s="1"/>
  <c r="D12" i="11"/>
  <c r="O12" i="11" s="1"/>
  <c r="D11" i="11"/>
  <c r="O11" i="11" s="1"/>
  <c r="D8" i="11"/>
  <c r="O8" i="11" s="1"/>
  <c r="D6" i="11"/>
  <c r="O6" i="11" s="1"/>
  <c r="D5" i="11"/>
  <c r="O5" i="11" s="1"/>
  <c r="D7" i="11"/>
  <c r="O7" i="11" s="1"/>
  <c r="J48" i="4"/>
  <c r="J47" i="4"/>
  <c r="J46" i="4"/>
  <c r="J44" i="4"/>
  <c r="J43" i="4"/>
  <c r="J42" i="4"/>
  <c r="J41" i="4"/>
  <c r="J37" i="4"/>
  <c r="J36" i="4"/>
  <c r="J34" i="4"/>
  <c r="J32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4" i="4"/>
  <c r="J13" i="4"/>
  <c r="J12" i="4"/>
  <c r="J11" i="4"/>
  <c r="J10" i="4"/>
  <c r="J9" i="4"/>
  <c r="J8" i="4"/>
  <c r="J7" i="4"/>
  <c r="J6" i="4"/>
  <c r="J5" i="4"/>
  <c r="G48" i="4"/>
  <c r="G47" i="4"/>
  <c r="G46" i="4"/>
  <c r="G44" i="4"/>
  <c r="G43" i="4"/>
  <c r="G42" i="4"/>
  <c r="G41" i="4"/>
  <c r="G36" i="4"/>
  <c r="G34" i="4"/>
  <c r="G32" i="4"/>
  <c r="G28" i="4"/>
  <c r="G27" i="4"/>
  <c r="G26" i="4"/>
  <c r="G24" i="4"/>
  <c r="G23" i="4"/>
  <c r="G22" i="4"/>
  <c r="G21" i="4"/>
  <c r="G20" i="4"/>
  <c r="G19" i="4"/>
  <c r="G18" i="4"/>
  <c r="G17" i="4"/>
  <c r="G16" i="4"/>
  <c r="G14" i="4"/>
  <c r="G13" i="4"/>
  <c r="G12" i="4"/>
  <c r="G11" i="4"/>
  <c r="G10" i="4"/>
  <c r="G9" i="4"/>
  <c r="G8" i="4"/>
  <c r="G7" i="4"/>
  <c r="G6" i="4"/>
  <c r="G5" i="4"/>
  <c r="D50" i="4"/>
  <c r="D48" i="4"/>
  <c r="D47" i="4"/>
  <c r="D46" i="4"/>
  <c r="D44" i="4"/>
  <c r="D43" i="4"/>
  <c r="D42" i="4"/>
  <c r="D41" i="4"/>
  <c r="D36" i="4"/>
  <c r="D34" i="4"/>
  <c r="D32" i="4"/>
  <c r="D29" i="4"/>
  <c r="D28" i="4"/>
  <c r="D27" i="4"/>
  <c r="D26" i="4"/>
  <c r="D24" i="4"/>
  <c r="D23" i="4"/>
  <c r="D22" i="4"/>
  <c r="D21" i="4"/>
  <c r="D20" i="4"/>
  <c r="D19" i="4"/>
  <c r="D18" i="4"/>
  <c r="D17" i="4"/>
  <c r="D16" i="4"/>
  <c r="D14" i="4"/>
  <c r="D13" i="4"/>
  <c r="D12" i="4"/>
  <c r="D11" i="4"/>
  <c r="D10" i="4"/>
  <c r="D9" i="4"/>
  <c r="D8" i="4"/>
  <c r="D7" i="4"/>
  <c r="D6" i="4"/>
  <c r="D5" i="4"/>
  <c r="D48" i="6"/>
  <c r="D47" i="6"/>
  <c r="D46" i="6"/>
  <c r="D44" i="6"/>
  <c r="D43" i="6"/>
  <c r="D42" i="6"/>
  <c r="D41" i="6"/>
  <c r="D37" i="6"/>
  <c r="D36" i="6"/>
  <c r="D34" i="6"/>
  <c r="D32" i="6"/>
  <c r="D29" i="6"/>
  <c r="D28" i="6"/>
  <c r="D27" i="6"/>
  <c r="D26" i="6"/>
  <c r="D25" i="6"/>
  <c r="D23" i="6"/>
  <c r="D22" i="6"/>
  <c r="D21" i="6"/>
  <c r="D18" i="6"/>
  <c r="D17" i="6"/>
  <c r="D14" i="6"/>
  <c r="D12" i="6"/>
  <c r="D11" i="6"/>
  <c r="D10" i="6"/>
  <c r="D9" i="6"/>
  <c r="D8" i="6"/>
  <c r="D6" i="6"/>
  <c r="D5" i="6"/>
  <c r="J7" i="8"/>
  <c r="J7" i="2"/>
  <c r="D53" i="8"/>
  <c r="J50" i="8" l="1"/>
  <c r="K52" i="8" s="1"/>
  <c r="J50" i="2"/>
  <c r="K53" i="2" s="1"/>
  <c r="J26" i="3"/>
  <c r="D20" i="6"/>
  <c r="D24" i="6"/>
  <c r="D19" i="6"/>
  <c r="D16" i="6"/>
  <c r="D13" i="6"/>
  <c r="D52" i="2"/>
  <c r="J55" i="9"/>
  <c r="G55" i="9"/>
  <c r="D7" i="6"/>
  <c r="D20" i="3"/>
  <c r="D7" i="3"/>
  <c r="D19" i="3"/>
  <c r="D16" i="3"/>
  <c r="D13" i="3"/>
  <c r="D24" i="3"/>
  <c r="D50" i="3" l="1"/>
  <c r="E52" i="3" s="1"/>
  <c r="J19" i="3"/>
  <c r="J20" i="3"/>
  <c r="J13" i="3"/>
  <c r="J16" i="3"/>
  <c r="D50" i="6"/>
  <c r="K53" i="8"/>
  <c r="J24" i="3"/>
  <c r="J7" i="3"/>
  <c r="J50" i="3" l="1"/>
  <c r="K52" i="3" s="1"/>
  <c r="E54" i="3"/>
  <c r="K54" i="3" l="1"/>
  <c r="D57" i="9" l="1"/>
  <c r="J53" i="8"/>
  <c r="J52" i="2"/>
  <c r="D55" i="9"/>
  <c r="D54" i="3"/>
  <c r="J54" i="3" l="1"/>
</calcChain>
</file>

<file path=xl/sharedStrings.xml><?xml version="1.0" encoding="utf-8"?>
<sst xmlns="http://schemas.openxmlformats.org/spreadsheetml/2006/main" count="595" uniqueCount="125">
  <si>
    <t>Bank of America NA</t>
  </si>
  <si>
    <t>Bank of Bahrain and Kuwait  B.S.C.</t>
  </si>
  <si>
    <t>Bank of Ceylon</t>
  </si>
  <si>
    <t>Barclays Bank PLC</t>
  </si>
  <si>
    <t>BNP Paribas</t>
  </si>
  <si>
    <t>Deutsche Bank AG</t>
  </si>
  <si>
    <t>JPMorgan Chase Bank</t>
  </si>
  <si>
    <t>Mashreqbank psc</t>
  </si>
  <si>
    <t>Societe Generale</t>
  </si>
  <si>
    <t>Standard Chartered Bank</t>
  </si>
  <si>
    <t>Name of the Bank</t>
  </si>
  <si>
    <t>Gross NPA</t>
  </si>
  <si>
    <t>Net NPA</t>
  </si>
  <si>
    <t>Total Income</t>
  </si>
  <si>
    <t>Interest Income</t>
  </si>
  <si>
    <t>Operating Expenses</t>
  </si>
  <si>
    <t>Provisions &amp; Contingencies</t>
  </si>
  <si>
    <t>Net Profit</t>
  </si>
  <si>
    <t>Credit Deposit Ratio</t>
  </si>
  <si>
    <t>Investment Deposit Ratio</t>
  </si>
  <si>
    <t>Spread as % of Assets</t>
  </si>
  <si>
    <t>Net NPA as % to Net Advances</t>
  </si>
  <si>
    <t>Operating Expenses as % to Total Expenses</t>
  </si>
  <si>
    <t>Statement I : Foreign Banks in India : Deposits/Investments/Advances</t>
  </si>
  <si>
    <t>As on March 31</t>
  </si>
  <si>
    <t>Total Assets</t>
  </si>
  <si>
    <t>Statement  III : Foreign Banks in India : Income</t>
  </si>
  <si>
    <t>Statement V : Foreign Banks in India : Profit</t>
  </si>
  <si>
    <t>Statement IV : Foreign Banks in India : Expenditure</t>
  </si>
  <si>
    <t xml:space="preserve"> </t>
  </si>
  <si>
    <t>S. No</t>
  </si>
  <si>
    <t xml:space="preserve">Statement VI : Foreign Banks in India : Ratios   </t>
  </si>
  <si>
    <t xml:space="preserve">    Statement VII : Foreign Banks in India : Ratios</t>
  </si>
  <si>
    <t>Sr. No</t>
  </si>
  <si>
    <t xml:space="preserve">American Express Banking Corporation </t>
  </si>
  <si>
    <t>JSC VTB Bank</t>
  </si>
  <si>
    <t>Statement VIII: Foreign Banks in India : Ratios</t>
  </si>
  <si>
    <t>Total of Foreign Banks in India</t>
  </si>
  <si>
    <t>Advances</t>
  </si>
  <si>
    <t>FirstRand Bank Ltd.</t>
  </si>
  <si>
    <t>United Overseas Bank Ltd.</t>
  </si>
  <si>
    <t>Credit Agricole Corporate &amp; Investment Bank</t>
  </si>
  <si>
    <t>(Per Cent)</t>
  </si>
  <si>
    <t xml:space="preserve">As on March 31                                                                                                                                                                                                                                           </t>
  </si>
  <si>
    <t>Sberbank</t>
  </si>
  <si>
    <t>Statement II: Foreign Banks: Assets/Gross NPA/Net NPA</t>
  </si>
  <si>
    <t>(₹ Crore)</t>
  </si>
  <si>
    <t>Citibank N.A.</t>
  </si>
  <si>
    <t>AB Bank Limited</t>
  </si>
  <si>
    <t>Krung Thai Bank Public Company Ltd.</t>
  </si>
  <si>
    <t>Shinhan Bank</t>
  </si>
  <si>
    <t>Sonali Bank Ltd.</t>
  </si>
  <si>
    <t>Woori Bank</t>
  </si>
  <si>
    <t xml:space="preserve">DBS Bank Ltd. </t>
  </si>
  <si>
    <t>Mizuho Bank Ltd.</t>
  </si>
  <si>
    <t>Deposits</t>
  </si>
  <si>
    <t>Investments</t>
  </si>
  <si>
    <t>S.No.</t>
  </si>
  <si>
    <t>S. No.</t>
  </si>
  <si>
    <t>Industrial Bank of Korea</t>
  </si>
  <si>
    <t>Doha Bank</t>
  </si>
  <si>
    <t>PT Bank Maybank Indonesia TBK</t>
  </si>
  <si>
    <t xml:space="preserve">KEB Hana Bank </t>
  </si>
  <si>
    <t>Total Expenditure #</t>
  </si>
  <si>
    <t>Return on Assets (%)</t>
  </si>
  <si>
    <t>Cooperatieve Rabobank U.A.</t>
  </si>
  <si>
    <t xml:space="preserve">First Abu Dhabi Bank </t>
  </si>
  <si>
    <t>MUFG Bank Ltd</t>
  </si>
  <si>
    <t>Qatar National Bank</t>
  </si>
  <si>
    <t xml:space="preserve">Bank of Bahrain and Kuwait  B.S.C. </t>
  </si>
  <si>
    <t xml:space="preserve">Barclays Bank PLC </t>
  </si>
  <si>
    <t>Deutsche Bank AG #</t>
  </si>
  <si>
    <t>KEB Hana Bank</t>
  </si>
  <si>
    <t>SBM Bank (India) Ltd.</t>
  </si>
  <si>
    <t>SBM Bank (India) Ltd. #</t>
  </si>
  <si>
    <t>Interest Expended</t>
  </si>
  <si>
    <t>Operating Profit</t>
  </si>
  <si>
    <t xml:space="preserve">Bank of China </t>
  </si>
  <si>
    <t xml:space="preserve">Kookmin Bank </t>
  </si>
  <si>
    <t>AB Bank Ltd.</t>
  </si>
  <si>
    <t>Australia &amp; New Zealand Banking Group Ltd. (ANZ)</t>
  </si>
  <si>
    <t>Bank of Nova Scotia</t>
  </si>
  <si>
    <t>Industrial &amp; Commercial Bank of China Ltd (ICBC)</t>
  </si>
  <si>
    <t xml:space="preserve">NatWest Markets PLC </t>
  </si>
  <si>
    <t>Sumitomo Mitsui Banking Corporation (SMBC)</t>
  </si>
  <si>
    <t>Hongkong and Shanghai Banking Corpn.Ltd. (HSBC)</t>
  </si>
  <si>
    <t>Industrial &amp; Commercial Bank of China Limited (ICBC)</t>
  </si>
  <si>
    <t>Sumitomo Mitsui Banking Corporation  (SMBC)</t>
  </si>
  <si>
    <t xml:space="preserve">MUFG Bank </t>
  </si>
  <si>
    <t xml:space="preserve">Sumitomo Mitsui Banking Corporation (SMBC) </t>
  </si>
  <si>
    <t>NatWest Markets PLC</t>
  </si>
  <si>
    <t>Hongkong and Shanghai Banking Corpn. Ltd. (HSBC)</t>
  </si>
  <si>
    <t xml:space="preserve">Bank of Nova Scotia </t>
  </si>
  <si>
    <t>Cooperatieve Rabobank U.A. ^</t>
  </si>
  <si>
    <t>^ Business is calculated as net advances plus deposits excluding interbank deposits.</t>
  </si>
  <si>
    <t>Industrial &amp; Commercial Bank of China Limited (ICBC) #</t>
  </si>
  <si>
    <t>MUFG Bank Ltd.</t>
  </si>
  <si>
    <t>First Abu Dhabi Bank PJSC</t>
  </si>
  <si>
    <t>CTBC Bank Co. Ltd.</t>
  </si>
  <si>
    <t>Emirates NBD Bank (PJSC)</t>
  </si>
  <si>
    <t>2023</t>
  </si>
  <si>
    <t>2024</t>
  </si>
  <si>
    <t>DBS Bank Ltd. #</t>
  </si>
  <si>
    <t># Net NPA is after considering ECGC claim, sundries balance and floating provision.</t>
  </si>
  <si>
    <t>UBS AG (earlier Credit Suisse)</t>
  </si>
  <si>
    <t>-</t>
  </si>
  <si>
    <t>Krung Thai Bank Public Company Ltd. #</t>
  </si>
  <si>
    <t>c</t>
  </si>
  <si>
    <t>Qatar National Bank #</t>
  </si>
  <si>
    <t>UBS AG (earlier Credit Suisse) !</t>
  </si>
  <si>
    <t># Excluding Provisions.</t>
  </si>
  <si>
    <t>! The Name of 'Credit Suisse Bank' has been excluded from second schedule of RBI Act 1934 and name of 'UBS AG' has been included w.e.f. June 4, 2024.</t>
  </si>
  <si>
    <t># The 'Krung Thai Bank Public Company Ltd.' has ceased to be a banking company within the meaning of the Banking Regulation Act, 1949 vide Notification dated July 3, 2024, which is published in the Gazette of India (Part III - Section 4) dated 17 to 23 August, 2023.</t>
  </si>
  <si>
    <t>Other Income</t>
  </si>
  <si>
    <t>NongHyup Bank</t>
  </si>
  <si>
    <t>NongHyup Bank ^^</t>
  </si>
  <si>
    <t>^^ NongHyup Bank open branch in India (Mumbai) October, 2023.</t>
  </si>
  <si>
    <t>Business per Employee 
(In Crore)</t>
  </si>
  <si>
    <t>Profit per Employee 
(In Lacs)</t>
  </si>
  <si>
    <t>Cooperatieve Rabobank U.A. #</t>
  </si>
  <si>
    <t># Business per emplyee inter bank deposits is excluded.</t>
  </si>
  <si>
    <t>2025</t>
  </si>
  <si>
    <t xml:space="preserve">Capital Adequacy Ratio (CAR)
Basel-III </t>
  </si>
  <si>
    <t># Return on Assets is computed with reference to Average Working Funds ( excluding accumulated losses, if any).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</si>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</sst>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0.00_);\(0.00\)"/>
    <numFmt numFmtId="166" formatCode="_(* #,##0.00_);[Red]_(* \(#,##0.00\);_(* &quot;-&quot;??_);_(@_)"/>
    <numFmt numFmtId="167" formatCode="0_);\(0\)"/>
    <numFmt numFmtId="168" formatCode="_ * #,##0_ ;_ * \-#,##0_ ;_ * &quot;-&quot;??_ ;_ @_ "/>
  </numFmts>
  <fonts count="3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6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sz val="16"/>
      <name val="Arial Narrow"/>
      <family val="2"/>
    </font>
    <font>
      <b/>
      <i/>
      <sz val="10"/>
      <name val="Arial Narrow"/>
      <family val="2"/>
    </font>
    <font>
      <i/>
      <sz val="10"/>
      <name val="Arial Narrow"/>
      <family val="2"/>
    </font>
    <font>
      <b/>
      <sz val="10"/>
      <name val="Arial Narrow"/>
      <family val="2"/>
    </font>
    <font>
      <b/>
      <sz val="11"/>
      <name val="Arial Narrow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0"/>
      <name val="Book Antiqua"/>
      <family val="1"/>
    </font>
    <font>
      <sz val="11"/>
      <color indexed="8"/>
      <name val="Calibri"/>
      <family val="2"/>
    </font>
    <font>
      <sz val="11"/>
      <name val="Arial Narrow"/>
      <family val="2"/>
    </font>
    <font>
      <sz val="9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91">
    <xf numFmtId="0" fontId="0" fillId="0" borderId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4" fillId="0" borderId="19" applyNumberFormat="0" applyFill="0" applyAlignment="0" applyProtection="0"/>
    <xf numFmtId="0" fontId="15" fillId="0" borderId="20" applyNumberFormat="0" applyFill="0" applyAlignment="0" applyProtection="0"/>
    <xf numFmtId="0" fontId="16" fillId="0" borderId="21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6" borderId="22" applyNumberFormat="0" applyAlignment="0" applyProtection="0"/>
    <xf numFmtId="0" fontId="20" fillId="7" borderId="23" applyNumberFormat="0" applyAlignment="0" applyProtection="0"/>
    <xf numFmtId="0" fontId="21" fillId="7" borderId="22" applyNumberFormat="0" applyAlignment="0" applyProtection="0"/>
    <xf numFmtId="0" fontId="22" fillId="0" borderId="24" applyNumberFormat="0" applyFill="0" applyAlignment="0" applyProtection="0"/>
    <xf numFmtId="0" fontId="23" fillId="8" borderId="25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27" applyNumberFormat="0" applyFill="0" applyAlignment="0" applyProtection="0"/>
    <xf numFmtId="0" fontId="2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2" fillId="0" borderId="0" applyFill="0" applyBorder="0"/>
    <xf numFmtId="43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2" fillId="0" borderId="0" applyFill="0" applyBorder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2" fillId="0" borderId="0" applyFill="0" applyBorder="0"/>
    <xf numFmtId="43" fontId="2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5" borderId="0" applyNumberFormat="0" applyBorder="0" applyAlignment="0" applyProtection="0"/>
    <xf numFmtId="0" fontId="1" fillId="9" borderId="26" applyNumberFormat="0" applyFont="0" applyAlignment="0" applyProtection="0"/>
    <xf numFmtId="0" fontId="27" fillId="13" borderId="0" applyNumberFormat="0" applyBorder="0" applyAlignment="0" applyProtection="0"/>
    <xf numFmtId="0" fontId="27" fillId="17" borderId="0" applyNumberFormat="0" applyBorder="0" applyAlignment="0" applyProtection="0"/>
    <xf numFmtId="0" fontId="27" fillId="21" borderId="0" applyNumberFormat="0" applyBorder="0" applyAlignment="0" applyProtection="0"/>
    <xf numFmtId="0" fontId="27" fillId="25" borderId="0" applyNumberFormat="0" applyBorder="0" applyAlignment="0" applyProtection="0"/>
    <xf numFmtId="0" fontId="27" fillId="29" borderId="0" applyNumberFormat="0" applyBorder="0" applyAlignment="0" applyProtection="0"/>
    <xf numFmtId="0" fontId="27" fillId="33" borderId="0" applyNumberFormat="0" applyBorder="0" applyAlignment="0" applyProtection="0"/>
    <xf numFmtId="0" fontId="30" fillId="0" borderId="0"/>
    <xf numFmtId="0" fontId="2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9" borderId="26" applyNumberFormat="0" applyFont="0" applyAlignment="0" applyProtection="0"/>
    <xf numFmtId="0" fontId="31" fillId="9" borderId="26" applyNumberFormat="0" applyFont="0" applyAlignment="0" applyProtection="0"/>
    <xf numFmtId="0" fontId="31" fillId="9" borderId="26" applyNumberFormat="0" applyFont="0" applyAlignment="0" applyProtection="0"/>
    <xf numFmtId="0" fontId="2" fillId="0" borderId="0"/>
  </cellStyleXfs>
  <cellXfs count="176">
    <xf numFmtId="0" fontId="0" fillId="0" borderId="0" xfId="0"/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" fontId="7" fillId="0" borderId="1" xfId="0" applyNumberFormat="1" applyFont="1" applyBorder="1" applyAlignment="1">
      <alignment horizontal="right" vertical="center"/>
    </xf>
    <xf numFmtId="3" fontId="7" fillId="0" borderId="1" xfId="5" applyNumberFormat="1" applyFont="1" applyFill="1" applyBorder="1" applyAlignment="1">
      <alignment horizontal="right" vertical="center"/>
    </xf>
    <xf numFmtId="0" fontId="7" fillId="0" borderId="9" xfId="0" applyFont="1" applyBorder="1" applyAlignment="1">
      <alignment horizontal="right" vertical="center"/>
    </xf>
    <xf numFmtId="3" fontId="8" fillId="0" borderId="16" xfId="5" applyNumberFormat="1" applyFont="1" applyFill="1" applyBorder="1" applyAlignment="1">
      <alignment horizontal="right" vertical="center"/>
    </xf>
    <xf numFmtId="3" fontId="8" fillId="0" borderId="0" xfId="5" applyNumberFormat="1" applyFont="1" applyFill="1" applyBorder="1" applyAlignment="1">
      <alignment horizontal="right" vertical="center"/>
    </xf>
    <xf numFmtId="4" fontId="8" fillId="0" borderId="16" xfId="0" applyNumberFormat="1" applyFont="1" applyBorder="1" applyAlignment="1">
      <alignment horizontal="right" vertical="center"/>
    </xf>
    <xf numFmtId="4" fontId="7" fillId="0" borderId="2" xfId="0" applyNumberFormat="1" applyFont="1" applyBorder="1" applyAlignment="1">
      <alignment horizontal="right" vertical="center"/>
    </xf>
    <xf numFmtId="4" fontId="8" fillId="0" borderId="0" xfId="0" applyNumberFormat="1" applyFont="1" applyAlignment="1">
      <alignment horizontal="right" vertical="center"/>
    </xf>
    <xf numFmtId="2" fontId="7" fillId="0" borderId="1" xfId="0" applyNumberFormat="1" applyFont="1" applyBorder="1" applyAlignment="1">
      <alignment horizontal="right" vertical="center"/>
    </xf>
    <xf numFmtId="1" fontId="7" fillId="0" borderId="1" xfId="5" applyNumberFormat="1" applyFont="1" applyFill="1" applyBorder="1" applyAlignment="1">
      <alignment horizontal="right" vertical="center"/>
    </xf>
    <xf numFmtId="4" fontId="7" fillId="0" borderId="3" xfId="0" applyNumberFormat="1" applyFont="1" applyBorder="1" applyAlignment="1">
      <alignment horizontal="right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2" fillId="0" borderId="0" xfId="0" applyFont="1" applyAlignment="1">
      <alignment horizontal="right" vertical="center"/>
    </xf>
    <xf numFmtId="3" fontId="7" fillId="0" borderId="3" xfId="5" applyNumberFormat="1" applyFont="1" applyFill="1" applyBorder="1" applyAlignment="1">
      <alignment horizontal="right" vertical="center"/>
    </xf>
    <xf numFmtId="0" fontId="33" fillId="0" borderId="0" xfId="0" applyFont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4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3" fontId="7" fillId="0" borderId="3" xfId="0" applyNumberFormat="1" applyFont="1" applyBorder="1" applyAlignment="1">
      <alignment horizontal="right" vertical="center"/>
    </xf>
    <xf numFmtId="3" fontId="8" fillId="0" borderId="16" xfId="0" applyNumberFormat="1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right" vertical="center"/>
    </xf>
    <xf numFmtId="3" fontId="7" fillId="0" borderId="2" xfId="0" applyNumberFormat="1" applyFont="1" applyBorder="1" applyAlignment="1">
      <alignment horizontal="right" vertical="center"/>
    </xf>
    <xf numFmtId="3" fontId="7" fillId="0" borderId="2" xfId="5" applyNumberFormat="1" applyFont="1" applyFill="1" applyBorder="1" applyAlignment="1">
      <alignment horizontal="right" vertical="center"/>
    </xf>
    <xf numFmtId="1" fontId="7" fillId="0" borderId="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1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1" fontId="7" fillId="0" borderId="3" xfId="0" applyNumberFormat="1" applyFont="1" applyBorder="1" applyAlignment="1">
      <alignment horizontal="right" vertical="center"/>
    </xf>
    <xf numFmtId="0" fontId="7" fillId="0" borderId="0" xfId="0" quotePrefix="1" applyFont="1" applyAlignment="1">
      <alignment horizontal="left" vertical="center"/>
    </xf>
    <xf numFmtId="1" fontId="7" fillId="0" borderId="0" xfId="0" applyNumberFormat="1" applyFont="1" applyAlignment="1">
      <alignment horizontal="right" vertical="center"/>
    </xf>
    <xf numFmtId="167" fontId="7" fillId="0" borderId="1" xfId="0" applyNumberFormat="1" applyFont="1" applyBorder="1" applyAlignment="1">
      <alignment horizontal="right" vertical="center"/>
    </xf>
    <xf numFmtId="2" fontId="8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4" fontId="32" fillId="0" borderId="0" xfId="0" applyNumberFormat="1" applyFont="1" applyAlignment="1" applyProtection="1">
      <alignment horizontal="right" vertical="center"/>
      <protection locked="0"/>
    </xf>
    <xf numFmtId="2" fontId="7" fillId="0" borderId="1" xfId="0" applyNumberFormat="1" applyFont="1" applyBorder="1" applyAlignment="1" applyProtection="1">
      <alignment horizontal="right" vertical="center"/>
      <protection locked="0"/>
    </xf>
    <xf numFmtId="165" fontId="7" fillId="0" borderId="1" xfId="0" applyNumberFormat="1" applyFont="1" applyBorder="1" applyAlignment="1">
      <alignment horizontal="right" vertical="center"/>
    </xf>
    <xf numFmtId="0" fontId="7" fillId="0" borderId="9" xfId="0" applyFont="1" applyBorder="1" applyAlignment="1" applyProtection="1">
      <alignment horizontal="right" vertical="center"/>
      <protection locked="0"/>
    </xf>
    <xf numFmtId="4" fontId="7" fillId="0" borderId="1" xfId="0" applyNumberFormat="1" applyFont="1" applyBorder="1" applyAlignment="1" applyProtection="1">
      <alignment horizontal="right" vertical="center"/>
      <protection locked="0"/>
    </xf>
    <xf numFmtId="4" fontId="7" fillId="0" borderId="3" xfId="0" applyNumberFormat="1" applyFont="1" applyBorder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2" fontId="7" fillId="0" borderId="0" xfId="0" applyNumberFormat="1" applyFont="1" applyAlignment="1">
      <alignment horizontal="left" vertical="center"/>
    </xf>
    <xf numFmtId="4" fontId="7" fillId="0" borderId="0" xfId="0" applyNumberFormat="1" applyFont="1" applyAlignment="1">
      <alignment horizontal="left" vertical="center"/>
    </xf>
    <xf numFmtId="0" fontId="7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165" fontId="7" fillId="0" borderId="0" xfId="0" applyNumberFormat="1" applyFont="1" applyAlignment="1" applyProtection="1">
      <alignment horizontal="left" vertical="center"/>
      <protection locked="0"/>
    </xf>
    <xf numFmtId="4" fontId="7" fillId="0" borderId="0" xfId="0" applyNumberFormat="1" applyFont="1" applyAlignment="1" applyProtection="1">
      <alignment horizontal="left" vertical="center"/>
      <protection locked="0"/>
    </xf>
    <xf numFmtId="4" fontId="13" fillId="0" borderId="0" xfId="0" applyNumberFormat="1" applyFont="1" applyAlignment="1" applyProtection="1">
      <alignment horizontal="right" vertical="center"/>
      <protection locked="0"/>
    </xf>
    <xf numFmtId="165" fontId="7" fillId="0" borderId="1" xfId="0" applyNumberFormat="1" applyFont="1" applyBorder="1" applyAlignment="1" applyProtection="1">
      <alignment horizontal="right" vertical="center"/>
      <protection locked="0"/>
    </xf>
    <xf numFmtId="0" fontId="7" fillId="0" borderId="14" xfId="0" applyFont="1" applyBorder="1" applyAlignment="1">
      <alignment horizontal="right" vertical="center"/>
    </xf>
    <xf numFmtId="4" fontId="8" fillId="0" borderId="0" xfId="0" applyNumberFormat="1" applyFont="1" applyAlignment="1">
      <alignment vertical="center"/>
    </xf>
    <xf numFmtId="0" fontId="10" fillId="0" borderId="0" xfId="0" applyFont="1" applyAlignment="1">
      <alignment horizontal="right" vertical="center"/>
    </xf>
    <xf numFmtId="2" fontId="7" fillId="0" borderId="0" xfId="0" applyNumberFormat="1" applyFont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0" fontId="7" fillId="0" borderId="1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2" fontId="7" fillId="0" borderId="2" xfId="0" applyNumberFormat="1" applyFont="1" applyBorder="1" applyAlignment="1">
      <alignment horizontal="right" vertical="center"/>
    </xf>
    <xf numFmtId="2" fontId="7" fillId="0" borderId="3" xfId="0" applyNumberFormat="1" applyFont="1" applyBorder="1" applyAlignment="1">
      <alignment horizontal="right" vertical="center"/>
    </xf>
    <xf numFmtId="0" fontId="7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2" fontId="7" fillId="0" borderId="1" xfId="0" applyNumberFormat="1" applyFont="1" applyBorder="1" applyAlignment="1" applyProtection="1">
      <alignment vertical="center"/>
      <protection locked="0"/>
    </xf>
    <xf numFmtId="4" fontId="7" fillId="0" borderId="1" xfId="0" applyNumberFormat="1" applyFont="1" applyBorder="1" applyAlignment="1" applyProtection="1">
      <alignment vertical="center"/>
      <protection locked="0"/>
    </xf>
    <xf numFmtId="0" fontId="7" fillId="0" borderId="3" xfId="0" applyFont="1" applyBorder="1" applyAlignment="1" applyProtection="1">
      <alignment horizontal="right" vertical="center"/>
      <protection locked="0"/>
    </xf>
    <xf numFmtId="2" fontId="7" fillId="0" borderId="2" xfId="0" applyNumberFormat="1" applyFont="1" applyBorder="1" applyAlignment="1" applyProtection="1">
      <alignment horizontal="right" vertical="center"/>
      <protection locked="0"/>
    </xf>
    <xf numFmtId="0" fontId="7" fillId="0" borderId="2" xfId="0" applyFont="1" applyBorder="1" applyAlignment="1" applyProtection="1">
      <alignment vertical="center"/>
      <protection locked="0"/>
    </xf>
    <xf numFmtId="0" fontId="7" fillId="0" borderId="2" xfId="0" applyFont="1" applyBorder="1" applyAlignment="1" applyProtection="1">
      <alignment horizontal="right" vertical="center"/>
      <protection locked="0"/>
    </xf>
    <xf numFmtId="0" fontId="7" fillId="0" borderId="12" xfId="0" applyFont="1" applyBorder="1" applyAlignment="1" applyProtection="1">
      <alignment horizontal="right" vertical="center"/>
      <protection locked="0"/>
    </xf>
    <xf numFmtId="2" fontId="7" fillId="0" borderId="3" xfId="0" applyNumberFormat="1" applyFont="1" applyBorder="1" applyAlignment="1" applyProtection="1">
      <alignment vertical="center"/>
      <protection locked="0"/>
    </xf>
    <xf numFmtId="2" fontId="7" fillId="0" borderId="9" xfId="0" applyNumberFormat="1" applyFont="1" applyBorder="1" applyAlignment="1">
      <alignment horizontal="right" vertical="center"/>
    </xf>
    <xf numFmtId="1" fontId="7" fillId="0" borderId="9" xfId="0" applyNumberFormat="1" applyFont="1" applyBorder="1" applyAlignment="1">
      <alignment horizontal="right" vertical="center"/>
    </xf>
    <xf numFmtId="2" fontId="7" fillId="0" borderId="9" xfId="0" applyNumberFormat="1" applyFont="1" applyBorder="1" applyAlignment="1" applyProtection="1">
      <alignment horizontal="right" vertical="center"/>
      <protection locked="0"/>
    </xf>
    <xf numFmtId="3" fontId="7" fillId="0" borderId="9" xfId="0" applyNumberFormat="1" applyFont="1" applyBorder="1" applyAlignment="1">
      <alignment horizontal="right" vertical="center"/>
    </xf>
    <xf numFmtId="3" fontId="7" fillId="0" borderId="9" xfId="5" applyNumberFormat="1" applyFont="1" applyFill="1" applyBorder="1" applyAlignment="1">
      <alignment horizontal="right" vertical="center"/>
    </xf>
    <xf numFmtId="168" fontId="7" fillId="0" borderId="9" xfId="5" applyNumberFormat="1" applyFont="1" applyBorder="1" applyAlignment="1">
      <alignment horizontal="right" vertical="center"/>
    </xf>
    <xf numFmtId="0" fontId="7" fillId="0" borderId="10" xfId="0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/>
    </xf>
    <xf numFmtId="3" fontId="7" fillId="0" borderId="32" xfId="0" applyNumberFormat="1" applyFont="1" applyBorder="1" applyAlignment="1">
      <alignment horizontal="right" vertical="center"/>
    </xf>
    <xf numFmtId="9" fontId="7" fillId="0" borderId="0" xfId="0" applyNumberFormat="1" applyFont="1" applyAlignment="1">
      <alignment horizontal="right" vertical="center"/>
    </xf>
    <xf numFmtId="9" fontId="7" fillId="0" borderId="0" xfId="0" applyNumberFormat="1" applyFont="1" applyAlignment="1" applyProtection="1">
      <alignment horizontal="left" vertical="center"/>
      <protection locked="0"/>
    </xf>
    <xf numFmtId="0" fontId="12" fillId="0" borderId="0" xfId="0" applyFont="1" applyAlignment="1">
      <alignment vertical="center"/>
    </xf>
    <xf numFmtId="0" fontId="8" fillId="0" borderId="11" xfId="0" applyFont="1" applyBorder="1" applyAlignment="1">
      <alignment horizontal="center" vertical="center"/>
    </xf>
    <xf numFmtId="3" fontId="8" fillId="0" borderId="17" xfId="5" applyNumberFormat="1" applyFont="1" applyFill="1" applyBorder="1" applyAlignment="1">
      <alignment horizontal="right" vertical="center"/>
    </xf>
    <xf numFmtId="3" fontId="7" fillId="0" borderId="12" xfId="0" applyNumberFormat="1" applyFont="1" applyBorder="1" applyAlignment="1">
      <alignment horizontal="right" vertical="center"/>
    </xf>
    <xf numFmtId="1" fontId="8" fillId="0" borderId="9" xfId="0" applyNumberFormat="1" applyFont="1" applyBorder="1" applyAlignment="1">
      <alignment horizontal="right" vertical="center"/>
    </xf>
    <xf numFmtId="0" fontId="8" fillId="0" borderId="32" xfId="0" applyFont="1" applyBorder="1" applyAlignment="1">
      <alignment horizontal="center" vertical="center"/>
    </xf>
    <xf numFmtId="1" fontId="8" fillId="0" borderId="32" xfId="0" applyNumberFormat="1" applyFont="1" applyBorder="1" applyAlignment="1">
      <alignment horizontal="center" vertical="center"/>
    </xf>
    <xf numFmtId="1" fontId="8" fillId="0" borderId="11" xfId="0" applyNumberFormat="1" applyFont="1" applyBorder="1" applyAlignment="1">
      <alignment horizontal="center" vertical="center"/>
    </xf>
    <xf numFmtId="3" fontId="8" fillId="0" borderId="9" xfId="0" applyNumberFormat="1" applyFont="1" applyBorder="1" applyAlignment="1">
      <alignment horizontal="right" vertical="center"/>
    </xf>
    <xf numFmtId="49" fontId="8" fillId="0" borderId="32" xfId="0" applyNumberFormat="1" applyFont="1" applyBorder="1" applyAlignment="1">
      <alignment horizontal="center" vertical="center"/>
    </xf>
    <xf numFmtId="3" fontId="8" fillId="0" borderId="32" xfId="0" applyNumberFormat="1" applyFont="1" applyBorder="1" applyAlignment="1">
      <alignment horizontal="center" vertical="center"/>
    </xf>
    <xf numFmtId="3" fontId="8" fillId="0" borderId="11" xfId="0" applyNumberFormat="1" applyFont="1" applyBorder="1" applyAlignment="1">
      <alignment horizontal="center" vertical="center"/>
    </xf>
    <xf numFmtId="0" fontId="8" fillId="0" borderId="9" xfId="38" applyFont="1" applyBorder="1" applyAlignment="1">
      <alignment horizontal="right" vertical="center"/>
    </xf>
    <xf numFmtId="3" fontId="7" fillId="0" borderId="14" xfId="0" applyNumberFormat="1" applyFont="1" applyBorder="1" applyAlignment="1">
      <alignment horizontal="right" vertical="center"/>
    </xf>
    <xf numFmtId="3" fontId="8" fillId="0" borderId="17" xfId="0" applyNumberFormat="1" applyFont="1" applyBorder="1" applyAlignment="1">
      <alignment horizontal="right" vertical="center"/>
    </xf>
    <xf numFmtId="3" fontId="8" fillId="0" borderId="0" xfId="0" applyNumberFormat="1" applyFont="1" applyAlignment="1">
      <alignment horizontal="right" vertical="center"/>
    </xf>
    <xf numFmtId="3" fontId="8" fillId="0" borderId="31" xfId="0" applyNumberFormat="1" applyFont="1" applyBorder="1" applyAlignment="1">
      <alignment horizontal="right" vertical="center"/>
    </xf>
    <xf numFmtId="0" fontId="8" fillId="0" borderId="9" xfId="0" applyFont="1" applyBorder="1" applyAlignment="1">
      <alignment horizontal="right" vertical="center"/>
    </xf>
    <xf numFmtId="4" fontId="7" fillId="0" borderId="9" xfId="0" applyNumberFormat="1" applyFont="1" applyBorder="1" applyAlignment="1">
      <alignment horizontal="right" vertical="center"/>
    </xf>
    <xf numFmtId="4" fontId="7" fillId="0" borderId="14" xfId="0" applyNumberFormat="1" applyFont="1" applyBorder="1" applyAlignment="1">
      <alignment horizontal="right" vertical="center"/>
    </xf>
    <xf numFmtId="3" fontId="7" fillId="0" borderId="9" xfId="5" applyNumberFormat="1" applyFont="1" applyBorder="1" applyAlignment="1">
      <alignment horizontal="right" vertical="center"/>
    </xf>
    <xf numFmtId="3" fontId="7" fillId="0" borderId="0" xfId="5" applyNumberFormat="1" applyFont="1" applyFill="1" applyBorder="1" applyAlignment="1">
      <alignment horizontal="right" vertical="center"/>
    </xf>
    <xf numFmtId="4" fontId="7" fillId="0" borderId="0" xfId="5" applyNumberFormat="1" applyFont="1" applyFill="1" applyBorder="1" applyAlignment="1">
      <alignment horizontal="right" vertical="center"/>
    </xf>
    <xf numFmtId="4" fontId="8" fillId="0" borderId="9" xfId="0" applyNumberFormat="1" applyFont="1" applyBorder="1" applyAlignment="1">
      <alignment horizontal="right" vertical="center"/>
    </xf>
    <xf numFmtId="2" fontId="7" fillId="0" borderId="12" xfId="0" applyNumberFormat="1" applyFont="1" applyBorder="1" applyAlignment="1">
      <alignment horizontal="right" vertical="center"/>
    </xf>
    <xf numFmtId="0" fontId="7" fillId="0" borderId="32" xfId="0" applyFont="1" applyBorder="1" applyAlignment="1" applyProtection="1">
      <alignment horizontal="right" vertical="center"/>
      <protection locked="0"/>
    </xf>
    <xf numFmtId="165" fontId="7" fillId="0" borderId="9" xfId="0" applyNumberFormat="1" applyFont="1" applyBorder="1" applyAlignment="1">
      <alignment horizontal="right" vertical="center"/>
    </xf>
    <xf numFmtId="4" fontId="8" fillId="0" borderId="17" xfId="0" applyNumberFormat="1" applyFont="1" applyBorder="1" applyAlignment="1">
      <alignment horizontal="right" vertical="center"/>
    </xf>
    <xf numFmtId="4" fontId="7" fillId="0" borderId="9" xfId="0" applyNumberFormat="1" applyFont="1" applyBorder="1" applyAlignment="1" applyProtection="1">
      <alignment horizontal="right" vertical="center"/>
      <protection locked="0"/>
    </xf>
    <xf numFmtId="3" fontId="8" fillId="0" borderId="0" xfId="0" applyNumberFormat="1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3" fontId="8" fillId="0" borderId="1" xfId="0" applyNumberFormat="1" applyFont="1" applyBorder="1" applyAlignment="1">
      <alignment horizontal="center" vertical="center"/>
    </xf>
    <xf numFmtId="3" fontId="8" fillId="0" borderId="9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3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4" fontId="8" fillId="0" borderId="9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/>
    </xf>
    <xf numFmtId="166" fontId="8" fillId="0" borderId="9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4" fontId="8" fillId="0" borderId="15" xfId="0" applyNumberFormat="1" applyFont="1" applyBorder="1" applyAlignment="1">
      <alignment horizontal="center" vertical="center"/>
    </xf>
    <xf numFmtId="4" fontId="8" fillId="0" borderId="28" xfId="0" applyNumberFormat="1" applyFont="1" applyBorder="1" applyAlignment="1">
      <alignment horizontal="center" vertical="center"/>
    </xf>
    <xf numFmtId="4" fontId="8" fillId="0" borderId="30" xfId="0" applyNumberFormat="1" applyFont="1" applyBorder="1" applyAlignment="1">
      <alignment horizontal="center" vertical="center"/>
    </xf>
    <xf numFmtId="0" fontId="8" fillId="0" borderId="5" xfId="0" applyFont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horizontal="left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164" fontId="8" fillId="0" borderId="1" xfId="0" applyNumberFormat="1" applyFont="1" applyBorder="1" applyAlignment="1" applyProtection="1">
      <alignment horizontal="center" vertical="center" wrapText="1"/>
      <protection locked="0"/>
    </xf>
    <xf numFmtId="164" fontId="8" fillId="0" borderId="9" xfId="0" applyNumberFormat="1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0" borderId="32" xfId="0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</cellXfs>
  <cellStyles count="91">
    <cellStyle name="20% - Accent1" xfId="21" builtinId="30" customBuiltin="1"/>
    <cellStyle name="20% - Accent1 2" xfId="59" xr:uid="{A5C08FC6-3C50-49FF-A95D-015C7A0BD976}"/>
    <cellStyle name="20% - Accent1 3" xfId="60" xr:uid="{8E131AF9-058C-44ED-9594-EE73426871B3}"/>
    <cellStyle name="20% - Accent2" xfId="24" builtinId="34" customBuiltin="1"/>
    <cellStyle name="20% - Accent2 2" xfId="61" xr:uid="{3E9A4DB5-BC5B-4300-A914-F78B19D7000D}"/>
    <cellStyle name="20% - Accent2 3" xfId="62" xr:uid="{B51A234A-EB62-46D7-B3D9-5AE649C32616}"/>
    <cellStyle name="20% - Accent3" xfId="27" builtinId="38" customBuiltin="1"/>
    <cellStyle name="20% - Accent3 2" xfId="63" xr:uid="{EAD0A733-BE2A-47EC-AB47-F5F13CF29A99}"/>
    <cellStyle name="20% - Accent3 3" xfId="64" xr:uid="{A4864934-0573-4E6B-AE69-CA0C6D3800A3}"/>
    <cellStyle name="20% - Accent4" xfId="30" builtinId="42" customBuiltin="1"/>
    <cellStyle name="20% - Accent4 2" xfId="65" xr:uid="{6E019286-7262-422B-ABAD-F392C9CA71F9}"/>
    <cellStyle name="20% - Accent4 3" xfId="66" xr:uid="{79FD4C48-16F9-40EE-9E13-70F9277D162A}"/>
    <cellStyle name="20% - Accent5" xfId="33" builtinId="46" customBuiltin="1"/>
    <cellStyle name="20% - Accent5 2" xfId="67" xr:uid="{CDEDE17C-1B60-4CC4-810B-F8F3AAB9EE69}"/>
    <cellStyle name="20% - Accent5 3" xfId="68" xr:uid="{8BED4F91-B5C5-4CD1-9FAC-5B5378E66916}"/>
    <cellStyle name="20% - Accent6" xfId="36" builtinId="50" customBuiltin="1"/>
    <cellStyle name="20% - Accent6 2" xfId="69" xr:uid="{838FD4EA-6FA0-4308-917F-89242C696DCC}"/>
    <cellStyle name="20% - Accent6 3" xfId="70" xr:uid="{20D99FD4-D9A4-499F-8B84-18C0EF661AF6}"/>
    <cellStyle name="40% - Accent1" xfId="22" builtinId="31" customBuiltin="1"/>
    <cellStyle name="40% - Accent1 2" xfId="71" xr:uid="{FC3B891A-828E-45DF-BFC0-2CD60AB257BC}"/>
    <cellStyle name="40% - Accent1 3" xfId="72" xr:uid="{E6F2CEC2-96C6-407A-AC6A-44918FBE8234}"/>
    <cellStyle name="40% - Accent2" xfId="25" builtinId="35" customBuiltin="1"/>
    <cellStyle name="40% - Accent2 2" xfId="73" xr:uid="{9E1116F3-50E9-40B6-89CA-37F2204F6560}"/>
    <cellStyle name="40% - Accent2 3" xfId="74" xr:uid="{FA6A2905-106C-4C68-BE1D-5DD4569231F7}"/>
    <cellStyle name="40% - Accent3" xfId="28" builtinId="39" customBuiltin="1"/>
    <cellStyle name="40% - Accent3 2" xfId="75" xr:uid="{887467C0-A7E0-4EE9-A1D8-251DBE362F9E}"/>
    <cellStyle name="40% - Accent3 3" xfId="76" xr:uid="{427FA7CC-BDF7-4AAF-9A4B-271E7995A84C}"/>
    <cellStyle name="40% - Accent4" xfId="31" builtinId="43" customBuiltin="1"/>
    <cellStyle name="40% - Accent4 2" xfId="77" xr:uid="{5D21367F-C12A-4962-BCC6-3E92A58594E6}"/>
    <cellStyle name="40% - Accent4 3" xfId="78" xr:uid="{35EDD627-C2AF-449A-834C-B3CE24AA4525}"/>
    <cellStyle name="40% - Accent5" xfId="34" builtinId="47" customBuiltin="1"/>
    <cellStyle name="40% - Accent5 2" xfId="79" xr:uid="{0BBBDE0E-D087-4B77-BAA7-BA5CCC0D3FA4}"/>
    <cellStyle name="40% - Accent5 3" xfId="80" xr:uid="{5406C8C3-DF90-42C6-8D84-B071B6911EE2}"/>
    <cellStyle name="40% - Accent6" xfId="37" builtinId="51" customBuiltin="1"/>
    <cellStyle name="40% - Accent6 2" xfId="81" xr:uid="{0BEE5511-C815-4245-8755-9CFCB787680E}"/>
    <cellStyle name="40% - Accent6 3" xfId="82" xr:uid="{33B4BD43-7F3A-4DB3-91F1-EE9CA6524CFA}"/>
    <cellStyle name="60% - Accent1 2" xfId="51" xr:uid="{7DB36376-6C4B-4975-86CC-6E83903F58E9}"/>
    <cellStyle name="60% - Accent2 2" xfId="52" xr:uid="{7C323662-9978-4350-94DD-6348BADF627D}"/>
    <cellStyle name="60% - Accent3 2" xfId="53" xr:uid="{92A76F29-F11C-48A1-BEE9-A6F155043502}"/>
    <cellStyle name="60% - Accent4 2" xfId="54" xr:uid="{4E695AAD-1A2F-494A-82D6-157C5A89A429}"/>
    <cellStyle name="60% - Accent5 2" xfId="55" xr:uid="{749C8702-9CFF-4399-BEAE-4FD6C0483144}"/>
    <cellStyle name="60% - Accent6 2" xfId="56" xr:uid="{C8DF5BB3-DE31-4BB3-8505-1628C4652810}"/>
    <cellStyle name="Accent1" xfId="20" builtinId="29" customBuiltin="1"/>
    <cellStyle name="Accent2" xfId="23" builtinId="33" customBuiltin="1"/>
    <cellStyle name="Accent3" xfId="26" builtinId="37" customBuiltin="1"/>
    <cellStyle name="Accent4" xfId="29" builtinId="41" customBuiltin="1"/>
    <cellStyle name="Accent5" xfId="32" builtinId="45" customBuiltin="1"/>
    <cellStyle name="Accent6" xfId="35" builtinId="49" customBuiltin="1"/>
    <cellStyle name="Bad" xfId="11" builtinId="27" customBuiltin="1"/>
    <cellStyle name="Calculation" xfId="14" builtinId="22" customBuiltin="1"/>
    <cellStyle name="Check Cell" xfId="16" builtinId="23" customBuiltin="1"/>
    <cellStyle name="Comma" xfId="5" builtinId="3"/>
    <cellStyle name="Comma 2" xfId="1" xr:uid="{00000000-0005-0000-0000-000001000000}"/>
    <cellStyle name="Comma 2 2" xfId="40" xr:uid="{34E9CB79-39E5-4809-B5CB-CB006D68BE4F}"/>
    <cellStyle name="Comma 3" xfId="2" xr:uid="{00000000-0005-0000-0000-000002000000}"/>
    <cellStyle name="Comma 3 2" xfId="47" xr:uid="{6300EFE3-1393-421A-BA21-C797FEABA352}"/>
    <cellStyle name="Comma 3 3" xfId="43" xr:uid="{6DA1035C-74A7-47D0-A09D-C37C4E3B125A}"/>
    <cellStyle name="Comma 4" xfId="44" xr:uid="{EBA05BFE-0368-44BD-BC19-F13C6B38C3FA}"/>
    <cellStyle name="Explanatory Text" xfId="18" builtinId="53" customBuiltin="1"/>
    <cellStyle name="Fixed" xfId="41" xr:uid="{2B5CFD61-9E60-4CC8-9F10-2C74C774031B}"/>
    <cellStyle name="Fixed 2" xfId="45" xr:uid="{C669D1C3-520E-41FE-BC05-8CEAE7E6BB1B}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2" builtinId="20" customBuiltin="1"/>
    <cellStyle name="Linked Cell" xfId="15" builtinId="24" customBuiltin="1"/>
    <cellStyle name="Neutral 2" xfId="49" xr:uid="{2E4D48D3-8D42-4F2E-8A87-A80BB2F63E84}"/>
    <cellStyle name="Normal" xfId="0" builtinId="0"/>
    <cellStyle name="Normal 11" xfId="83" xr:uid="{CEA7A7FA-82F0-4EB1-AF93-702E5DB3BF35}"/>
    <cellStyle name="Normal 2" xfId="3" xr:uid="{00000000-0005-0000-0000-000004000000}"/>
    <cellStyle name="Normal 2 2" xfId="84" xr:uid="{CBE3883B-67D7-482C-AD71-FE7FA797753F}"/>
    <cellStyle name="Normal 2 3" xfId="39" xr:uid="{3ABD2FA9-2317-4246-8660-1522A3304132}"/>
    <cellStyle name="Normal 3" xfId="42" xr:uid="{730C2C16-8EA4-4EB3-8CFA-9E535A2705BE}"/>
    <cellStyle name="Normal 3 2" xfId="46" xr:uid="{656BA4DB-60A1-40F1-8833-A406EB7A58F3}"/>
    <cellStyle name="Normal 3 2 2" xfId="85" xr:uid="{479CBF11-80D1-4C05-A2C2-423F316C6B67}"/>
    <cellStyle name="Normal 4" xfId="86" xr:uid="{97D76D4C-5A23-4D9E-89DF-0E53F0ECD071}"/>
    <cellStyle name="Normal 5" xfId="58" xr:uid="{1A7E9ED9-4833-4B73-95D6-77B1F92B45FA}"/>
    <cellStyle name="Normal 6" xfId="57" xr:uid="{7D47A285-BCD7-45E8-A066-2A3717FE4993}"/>
    <cellStyle name="Normal 7" xfId="90" xr:uid="{611199F1-8475-4B7C-B0F9-063BE14173A0}"/>
    <cellStyle name="Normal 8" xfId="38" xr:uid="{B0683E34-F48B-42CE-AA2E-5F7D57152456}"/>
    <cellStyle name="Note 2" xfId="87" xr:uid="{9F0CC790-742E-4581-BC6E-DF577FA8F5D1}"/>
    <cellStyle name="Note 3" xfId="88" xr:uid="{B5B7B685-0D46-43E6-A9C8-144E440DF824}"/>
    <cellStyle name="Note 4" xfId="89" xr:uid="{A24A72CB-CAA3-4FBF-81BE-7DCDAA6AD227}"/>
    <cellStyle name="Note 5" xfId="50" xr:uid="{EFE642FB-2EE2-4D12-8162-2A4D69CC940C}"/>
    <cellStyle name="Output" xfId="13" builtinId="21" customBuiltin="1"/>
    <cellStyle name="Percent 2" xfId="4" xr:uid="{00000000-0005-0000-0000-000005000000}"/>
    <cellStyle name="Title 2" xfId="48" xr:uid="{22347EA6-E85D-4533-A7ED-B3328F54C721}"/>
    <cellStyle name="Total" xfId="19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58"/>
  <sheetViews>
    <sheetView view="pageBreakPreview" zoomScaleNormal="100" zoomScaleSheetLayoutView="100" workbookViewId="0">
      <pane ySplit="4" topLeftCell="A26" activePane="bottomLeft" state="frozen"/>
      <selection pane="bottomLeft" activeCell="E38" sqref="E38"/>
    </sheetView>
  </sheetViews>
  <sheetFormatPr defaultColWidth="8.7109375" defaultRowHeight="15.75" x14ac:dyDescent="0.2"/>
  <cols>
    <col min="1" max="1" width="9.28515625" style="1" customWidth="1"/>
    <col min="2" max="2" width="6.28515625" style="3" customWidth="1"/>
    <col min="3" max="3" width="44.85546875" style="3" customWidth="1"/>
    <col min="4" max="4" width="10.28515625" style="26" customWidth="1"/>
    <col min="5" max="6" width="10.7109375" style="26" customWidth="1"/>
    <col min="7" max="7" width="10.28515625" style="26" customWidth="1"/>
    <col min="8" max="9" width="10.7109375" style="26" customWidth="1"/>
    <col min="10" max="10" width="10.85546875" style="1" customWidth="1"/>
    <col min="11" max="11" width="10.7109375" style="26" customWidth="1"/>
    <col min="12" max="12" width="11.5703125" style="19" customWidth="1"/>
    <col min="13" max="13" width="8.7109375" style="1"/>
    <col min="14" max="16" width="0" style="1" hidden="1" customWidth="1"/>
    <col min="17" max="16384" width="8.7109375" style="1"/>
  </cols>
  <sheetData>
    <row r="1" spans="2:16" ht="21.75" customHeight="1" x14ac:dyDescent="0.2">
      <c r="B1" s="124" t="s">
        <v>23</v>
      </c>
      <c r="C1" s="125"/>
      <c r="D1" s="125"/>
      <c r="E1" s="125"/>
      <c r="F1" s="125"/>
      <c r="G1" s="125"/>
      <c r="H1" s="125"/>
      <c r="I1" s="125"/>
      <c r="J1" s="125"/>
      <c r="K1" s="125"/>
      <c r="L1" s="126"/>
    </row>
    <row r="2" spans="2:16" ht="17.45" customHeight="1" x14ac:dyDescent="0.2">
      <c r="B2" s="127" t="s">
        <v>24</v>
      </c>
      <c r="C2" s="128"/>
      <c r="D2" s="128"/>
      <c r="E2" s="128"/>
      <c r="F2" s="128"/>
      <c r="G2" s="128"/>
      <c r="H2" s="128"/>
      <c r="I2" s="128"/>
      <c r="J2" s="128"/>
      <c r="K2" s="128"/>
      <c r="L2" s="102" t="s">
        <v>46</v>
      </c>
    </row>
    <row r="3" spans="2:16" ht="32.450000000000003" customHeight="1" x14ac:dyDescent="0.2">
      <c r="B3" s="136" t="s">
        <v>30</v>
      </c>
      <c r="C3" s="134" t="s">
        <v>10</v>
      </c>
      <c r="D3" s="133" t="s">
        <v>55</v>
      </c>
      <c r="E3" s="133"/>
      <c r="F3" s="133"/>
      <c r="G3" s="129" t="s">
        <v>56</v>
      </c>
      <c r="H3" s="129"/>
      <c r="I3" s="129"/>
      <c r="J3" s="129" t="s">
        <v>38</v>
      </c>
      <c r="K3" s="129"/>
      <c r="L3" s="130"/>
    </row>
    <row r="4" spans="2:16" ht="17.45" customHeight="1" thickBot="1" x14ac:dyDescent="0.25">
      <c r="B4" s="137"/>
      <c r="C4" s="135"/>
      <c r="D4" s="103" t="s">
        <v>100</v>
      </c>
      <c r="E4" s="103" t="s">
        <v>101</v>
      </c>
      <c r="F4" s="103" t="s">
        <v>121</v>
      </c>
      <c r="G4" s="103" t="s">
        <v>100</v>
      </c>
      <c r="H4" s="103" t="s">
        <v>101</v>
      </c>
      <c r="I4" s="103" t="s">
        <v>121</v>
      </c>
      <c r="J4" s="103">
        <v>2023</v>
      </c>
      <c r="K4" s="104">
        <v>2024</v>
      </c>
      <c r="L4" s="105">
        <v>2025</v>
      </c>
    </row>
    <row r="5" spans="2:16" ht="18.600000000000001" customHeight="1" x14ac:dyDescent="0.2">
      <c r="B5" s="16">
        <v>1</v>
      </c>
      <c r="C5" s="65" t="s">
        <v>79</v>
      </c>
      <c r="D5" s="27">
        <v>132.24</v>
      </c>
      <c r="E5" s="27">
        <v>221.52199999999999</v>
      </c>
      <c r="F5" s="27">
        <v>248.0446</v>
      </c>
      <c r="G5" s="27">
        <v>59.67</v>
      </c>
      <c r="H5" s="27">
        <v>74.264600000000002</v>
      </c>
      <c r="I5" s="27">
        <v>132.27590000000001</v>
      </c>
      <c r="J5" s="27">
        <v>54.28</v>
      </c>
      <c r="K5" s="27">
        <v>68.22</v>
      </c>
      <c r="L5" s="97">
        <v>73.372600000000006</v>
      </c>
      <c r="N5" s="21">
        <f>(F5-E5)/E5*100-9.03</f>
        <v>2.9428965971777128</v>
      </c>
      <c r="O5" s="21">
        <f>(I5-H5)/H5*100-14.55</f>
        <v>63.564337113510348</v>
      </c>
      <c r="P5" s="21">
        <f>(L5-K5)/K5*100-13.02</f>
        <v>-5.4670829668718754</v>
      </c>
    </row>
    <row r="6" spans="2:16" ht="18.600000000000001" customHeight="1" x14ac:dyDescent="0.2">
      <c r="B6" s="15">
        <v>2</v>
      </c>
      <c r="C6" s="64" t="s">
        <v>34</v>
      </c>
      <c r="D6" s="20">
        <v>3214.22</v>
      </c>
      <c r="E6" s="20">
        <v>4116.5039999999999</v>
      </c>
      <c r="F6" s="20">
        <v>5157.5964999999997</v>
      </c>
      <c r="G6" s="20">
        <v>4095.91</v>
      </c>
      <c r="H6" s="20">
        <v>4609.9070000000002</v>
      </c>
      <c r="I6" s="20">
        <v>4660.5838000000003</v>
      </c>
      <c r="J6" s="20">
        <v>3970.78</v>
      </c>
      <c r="K6" s="5">
        <v>4718.723</v>
      </c>
      <c r="L6" s="86">
        <v>6194.7637000000004</v>
      </c>
      <c r="N6" s="21">
        <f t="shared" ref="N6:N49" si="0">(F6-E6)/E6*100-9.03</f>
        <v>16.260695697125513</v>
      </c>
      <c r="O6" s="21">
        <f t="shared" ref="O6:O49" si="1">(I6-H6)/H6*100-14.55</f>
        <v>-13.450697996727479</v>
      </c>
      <c r="P6" s="21">
        <f t="shared" ref="P6:P49" si="2">(L6-K6)/K6*100-13.02</f>
        <v>18.260511697762308</v>
      </c>
    </row>
    <row r="7" spans="2:16" ht="18.600000000000001" customHeight="1" x14ac:dyDescent="0.2">
      <c r="B7" s="15">
        <v>3</v>
      </c>
      <c r="C7" s="64" t="s">
        <v>80</v>
      </c>
      <c r="D7" s="20">
        <v>6062.31</v>
      </c>
      <c r="E7" s="20">
        <v>7963.6248999999998</v>
      </c>
      <c r="F7" s="20">
        <v>8023.8487999999998</v>
      </c>
      <c r="G7" s="20">
        <v>7575.62</v>
      </c>
      <c r="H7" s="20">
        <v>17757.724999999999</v>
      </c>
      <c r="I7" s="20">
        <v>22801.694200000002</v>
      </c>
      <c r="J7" s="20">
        <v>3169.66</v>
      </c>
      <c r="K7" s="20">
        <v>3877.7559999999999</v>
      </c>
      <c r="L7" s="86">
        <v>4323.6731</v>
      </c>
      <c r="N7" s="21">
        <f t="shared" si="0"/>
        <v>-8.2737627241835554</v>
      </c>
      <c r="O7" s="21">
        <f t="shared" si="1"/>
        <v>13.854365987197138</v>
      </c>
      <c r="P7" s="21">
        <f t="shared" si="2"/>
        <v>-1.520640576663407</v>
      </c>
    </row>
    <row r="8" spans="2:16" ht="18.600000000000001" customHeight="1" x14ac:dyDescent="0.2">
      <c r="B8" s="15">
        <v>4</v>
      </c>
      <c r="C8" s="64" t="s">
        <v>0</v>
      </c>
      <c r="D8" s="20">
        <v>52655.43</v>
      </c>
      <c r="E8" s="20">
        <v>59855.692000000003</v>
      </c>
      <c r="F8" s="20">
        <v>66780.085699999996</v>
      </c>
      <c r="G8" s="20">
        <v>36096.550000000003</v>
      </c>
      <c r="H8" s="20">
        <v>60159.608999999997</v>
      </c>
      <c r="I8" s="20">
        <v>79380.948099999994</v>
      </c>
      <c r="J8" s="20">
        <v>20716.12</v>
      </c>
      <c r="K8" s="20">
        <v>27437.983</v>
      </c>
      <c r="L8" s="86">
        <v>34492.260300000002</v>
      </c>
      <c r="N8" s="21">
        <f t="shared" si="0"/>
        <v>2.5384799032980734</v>
      </c>
      <c r="O8" s="21">
        <f t="shared" si="1"/>
        <v>17.40057185295203</v>
      </c>
      <c r="P8" s="21">
        <f t="shared" si="2"/>
        <v>12.689897480437981</v>
      </c>
    </row>
    <row r="9" spans="2:16" ht="18.600000000000001" customHeight="1" x14ac:dyDescent="0.2">
      <c r="B9" s="15">
        <v>5</v>
      </c>
      <c r="C9" s="64" t="s">
        <v>1</v>
      </c>
      <c r="D9" s="20">
        <v>2238.27</v>
      </c>
      <c r="E9" s="20">
        <v>2064.5970000000002</v>
      </c>
      <c r="F9" s="20">
        <v>1897.79</v>
      </c>
      <c r="G9" s="20">
        <v>533.07000000000005</v>
      </c>
      <c r="H9" s="20">
        <v>529.452</v>
      </c>
      <c r="I9" s="20">
        <v>600.55200000000002</v>
      </c>
      <c r="J9" s="20">
        <v>1728.86</v>
      </c>
      <c r="K9" s="20">
        <v>1434.328</v>
      </c>
      <c r="L9" s="86">
        <v>1415.066</v>
      </c>
      <c r="N9" s="21">
        <f t="shared" si="0"/>
        <v>-17.109397577348034</v>
      </c>
      <c r="O9" s="21">
        <f t="shared" si="1"/>
        <v>-1.1210206024342106</v>
      </c>
      <c r="P9" s="21">
        <f t="shared" si="2"/>
        <v>-14.362928535174657</v>
      </c>
    </row>
    <row r="10" spans="2:16" ht="18.600000000000001" customHeight="1" x14ac:dyDescent="0.2">
      <c r="B10" s="15">
        <v>6</v>
      </c>
      <c r="C10" s="64" t="s">
        <v>2</v>
      </c>
      <c r="D10" s="20">
        <v>303.5</v>
      </c>
      <c r="E10" s="20">
        <v>278.68200000000002</v>
      </c>
      <c r="F10" s="20">
        <v>259.27339999999998</v>
      </c>
      <c r="G10" s="20">
        <v>67.617000000000004</v>
      </c>
      <c r="H10" s="20">
        <v>71.908000000000001</v>
      </c>
      <c r="I10" s="20">
        <v>82.379499999999993</v>
      </c>
      <c r="J10" s="20">
        <v>393.91</v>
      </c>
      <c r="K10" s="20">
        <v>376.61930000000001</v>
      </c>
      <c r="L10" s="86">
        <v>443.61900000000003</v>
      </c>
      <c r="N10" s="21">
        <f t="shared" si="0"/>
        <v>-15.994425402430021</v>
      </c>
      <c r="O10" s="21">
        <f t="shared" si="1"/>
        <v>1.2357456750279994E-2</v>
      </c>
      <c r="P10" s="21">
        <f t="shared" si="2"/>
        <v>4.7697680761448034</v>
      </c>
    </row>
    <row r="11" spans="2:16" ht="18.600000000000001" customHeight="1" x14ac:dyDescent="0.2">
      <c r="B11" s="15">
        <v>7</v>
      </c>
      <c r="C11" s="64" t="s">
        <v>77</v>
      </c>
      <c r="D11" s="20">
        <v>100.479</v>
      </c>
      <c r="E11" s="20">
        <v>15.7355</v>
      </c>
      <c r="F11" s="20">
        <v>27.536300000000001</v>
      </c>
      <c r="G11" s="20">
        <v>142.65899999999999</v>
      </c>
      <c r="H11" s="20">
        <v>144.9151</v>
      </c>
      <c r="I11" s="20">
        <v>160.44839999999999</v>
      </c>
      <c r="J11" s="20">
        <v>100</v>
      </c>
      <c r="K11" s="20">
        <v>80</v>
      </c>
      <c r="L11" s="86">
        <v>161.66669999999999</v>
      </c>
      <c r="N11" s="21">
        <f t="shared" si="0"/>
        <v>65.964757077944768</v>
      </c>
      <c r="O11" s="21">
        <f t="shared" si="1"/>
        <v>-3.8311032114665782</v>
      </c>
      <c r="P11" s="21">
        <f t="shared" si="2"/>
        <v>89.063375000000008</v>
      </c>
    </row>
    <row r="12" spans="2:16" ht="18.600000000000001" customHeight="1" x14ac:dyDescent="0.2">
      <c r="B12" s="15">
        <v>8</v>
      </c>
      <c r="C12" s="64" t="s">
        <v>81</v>
      </c>
      <c r="D12" s="20">
        <v>45.02</v>
      </c>
      <c r="E12" s="20">
        <v>32.700000000000003</v>
      </c>
      <c r="F12" s="20">
        <v>20.437000000000001</v>
      </c>
      <c r="G12" s="20">
        <v>594.89</v>
      </c>
      <c r="H12" s="20">
        <v>592.69000000000005</v>
      </c>
      <c r="I12" s="20">
        <v>1240.5231000000001</v>
      </c>
      <c r="J12" s="20">
        <v>168.8</v>
      </c>
      <c r="K12" s="20">
        <v>2.7873000000000001</v>
      </c>
      <c r="L12" s="86">
        <v>2.2414000000000001</v>
      </c>
      <c r="N12" s="21">
        <f t="shared" si="0"/>
        <v>-46.531529051987768</v>
      </c>
      <c r="O12" s="21">
        <f t="shared" si="1"/>
        <v>94.753868801565758</v>
      </c>
      <c r="P12" s="21">
        <f t="shared" si="2"/>
        <v>-32.605261722814191</v>
      </c>
    </row>
    <row r="13" spans="2:16" ht="18.600000000000001" customHeight="1" x14ac:dyDescent="0.2">
      <c r="B13" s="15">
        <v>9</v>
      </c>
      <c r="C13" s="64" t="s">
        <v>3</v>
      </c>
      <c r="D13" s="20">
        <v>12660.3</v>
      </c>
      <c r="E13" s="20">
        <v>21620.34</v>
      </c>
      <c r="F13" s="20">
        <v>19668.901600000001</v>
      </c>
      <c r="G13" s="20">
        <v>29425.5</v>
      </c>
      <c r="H13" s="20">
        <v>33137.078000000001</v>
      </c>
      <c r="I13" s="20">
        <v>43828.0435</v>
      </c>
      <c r="J13" s="20">
        <v>9467.11</v>
      </c>
      <c r="K13" s="20">
        <v>9026.06</v>
      </c>
      <c r="L13" s="86">
        <v>10416.970300000001</v>
      </c>
      <c r="N13" s="21">
        <f t="shared" si="0"/>
        <v>-18.055937612451974</v>
      </c>
      <c r="O13" s="21">
        <f t="shared" si="1"/>
        <v>17.712849186642213</v>
      </c>
      <c r="P13" s="21">
        <f t="shared" si="2"/>
        <v>2.3899385556931989</v>
      </c>
    </row>
    <row r="14" spans="2:16" ht="18.600000000000001" customHeight="1" x14ac:dyDescent="0.2">
      <c r="B14" s="15">
        <v>10</v>
      </c>
      <c r="C14" s="64" t="s">
        <v>4</v>
      </c>
      <c r="D14" s="20">
        <v>18909.060000000001</v>
      </c>
      <c r="E14" s="20">
        <v>19388.277999999998</v>
      </c>
      <c r="F14" s="20">
        <v>24790.194100000001</v>
      </c>
      <c r="G14" s="20">
        <v>28468.81</v>
      </c>
      <c r="H14" s="20">
        <v>30292.592000000001</v>
      </c>
      <c r="I14" s="20">
        <v>45782.371200000001</v>
      </c>
      <c r="J14" s="20">
        <v>11597.88</v>
      </c>
      <c r="K14" s="20">
        <v>12923.023999999999</v>
      </c>
      <c r="L14" s="86">
        <v>14354.7225</v>
      </c>
      <c r="N14" s="21">
        <f t="shared" si="0"/>
        <v>18.831763174635739</v>
      </c>
      <c r="O14" s="21">
        <f t="shared" si="1"/>
        <v>36.583885142611763</v>
      </c>
      <c r="P14" s="21">
        <f t="shared" si="2"/>
        <v>-1.9413352849921157</v>
      </c>
    </row>
    <row r="15" spans="2:16" ht="18.600000000000001" customHeight="1" x14ac:dyDescent="0.2">
      <c r="B15" s="15">
        <v>11</v>
      </c>
      <c r="C15" s="64" t="s">
        <v>47</v>
      </c>
      <c r="D15" s="20">
        <v>147382.59</v>
      </c>
      <c r="E15" s="20">
        <v>191625.54</v>
      </c>
      <c r="F15" s="20">
        <v>199807.29399999999</v>
      </c>
      <c r="G15" s="20">
        <v>115004.81</v>
      </c>
      <c r="H15" s="20">
        <v>110758.81</v>
      </c>
      <c r="I15" s="20">
        <v>132157.32800000001</v>
      </c>
      <c r="J15" s="20">
        <v>49965.42</v>
      </c>
      <c r="K15" s="20">
        <v>68307.62</v>
      </c>
      <c r="L15" s="86">
        <v>72260.240000000005</v>
      </c>
      <c r="N15" s="21">
        <f t="shared" si="0"/>
        <v>-4.7603426255185042</v>
      </c>
      <c r="O15" s="21">
        <f t="shared" si="1"/>
        <v>4.7699240764685094</v>
      </c>
      <c r="P15" s="21">
        <f t="shared" si="2"/>
        <v>-7.2335006314083108</v>
      </c>
    </row>
    <row r="16" spans="2:16" ht="18.600000000000001" customHeight="1" x14ac:dyDescent="0.2">
      <c r="B16" s="15">
        <v>12</v>
      </c>
      <c r="C16" s="64" t="s">
        <v>65</v>
      </c>
      <c r="D16" s="20">
        <v>149.6</v>
      </c>
      <c r="E16" s="20">
        <v>0</v>
      </c>
      <c r="F16" s="20">
        <v>0</v>
      </c>
      <c r="G16" s="20">
        <v>160.04</v>
      </c>
      <c r="H16" s="20">
        <v>82.42</v>
      </c>
      <c r="I16" s="20">
        <v>0</v>
      </c>
      <c r="J16" s="20">
        <v>225.93</v>
      </c>
      <c r="K16" s="20">
        <v>0</v>
      </c>
      <c r="L16" s="86">
        <v>0</v>
      </c>
      <c r="N16" s="21" t="e">
        <f t="shared" si="0"/>
        <v>#DIV/0!</v>
      </c>
      <c r="O16" s="21">
        <f t="shared" si="1"/>
        <v>-114.55</v>
      </c>
      <c r="P16" s="21" t="e">
        <f t="shared" si="2"/>
        <v>#DIV/0!</v>
      </c>
    </row>
    <row r="17" spans="2:16" ht="18.600000000000001" customHeight="1" x14ac:dyDescent="0.2">
      <c r="B17" s="15">
        <v>13</v>
      </c>
      <c r="C17" s="64" t="s">
        <v>41</v>
      </c>
      <c r="D17" s="20">
        <v>8412.6299999999992</v>
      </c>
      <c r="E17" s="20">
        <v>9001.3359999999993</v>
      </c>
      <c r="F17" s="20">
        <v>7841.0559999999996</v>
      </c>
      <c r="G17" s="20">
        <v>6630.94</v>
      </c>
      <c r="H17" s="20">
        <v>9994.7849999999999</v>
      </c>
      <c r="I17" s="20">
        <v>13621.308999999999</v>
      </c>
      <c r="J17" s="20">
        <v>5090.08</v>
      </c>
      <c r="K17" s="20">
        <v>4898.4390000000003</v>
      </c>
      <c r="L17" s="86">
        <v>6837.9889999999996</v>
      </c>
      <c r="N17" s="21">
        <f t="shared" si="0"/>
        <v>-21.920086538264982</v>
      </c>
      <c r="O17" s="21">
        <f t="shared" si="1"/>
        <v>21.734162190582378</v>
      </c>
      <c r="P17" s="21">
        <f t="shared" si="2"/>
        <v>26.575266981991593</v>
      </c>
    </row>
    <row r="18" spans="2:16" ht="18.600000000000001" customHeight="1" x14ac:dyDescent="0.2">
      <c r="B18" s="15">
        <v>14</v>
      </c>
      <c r="C18" s="64" t="s">
        <v>109</v>
      </c>
      <c r="D18" s="20">
        <v>1695.99</v>
      </c>
      <c r="E18" s="20">
        <v>2394.5120000000002</v>
      </c>
      <c r="F18" s="20">
        <v>2451.88</v>
      </c>
      <c r="G18" s="20">
        <v>14473.86</v>
      </c>
      <c r="H18" s="20">
        <v>2817.32</v>
      </c>
      <c r="I18" s="20">
        <v>4428.7849999999999</v>
      </c>
      <c r="J18" s="20">
        <v>656.98</v>
      </c>
      <c r="K18" s="20">
        <v>2233.1480000000001</v>
      </c>
      <c r="L18" s="86">
        <v>1566.99</v>
      </c>
      <c r="N18" s="21">
        <f t="shared" si="0"/>
        <v>-6.6341882437841218</v>
      </c>
      <c r="O18" s="21">
        <f t="shared" si="1"/>
        <v>42.648507801740649</v>
      </c>
      <c r="P18" s="21">
        <f t="shared" si="2"/>
        <v>-42.850445631010572</v>
      </c>
    </row>
    <row r="19" spans="2:16" ht="18.600000000000001" customHeight="1" x14ac:dyDescent="0.2">
      <c r="B19" s="15">
        <v>15</v>
      </c>
      <c r="C19" s="64" t="s">
        <v>98</v>
      </c>
      <c r="D19" s="20">
        <v>2203.5500000000002</v>
      </c>
      <c r="E19" s="20">
        <v>2262.98</v>
      </c>
      <c r="F19" s="20">
        <v>3242.8449999999998</v>
      </c>
      <c r="G19" s="20">
        <v>980.53</v>
      </c>
      <c r="H19" s="20">
        <v>1030.5999999999999</v>
      </c>
      <c r="I19" s="20">
        <v>1382.2046</v>
      </c>
      <c r="J19" s="20">
        <v>1776.76</v>
      </c>
      <c r="K19" s="20">
        <v>2122.4189999999999</v>
      </c>
      <c r="L19" s="86">
        <v>2521.3890000000001</v>
      </c>
      <c r="N19" s="21">
        <f t="shared" si="0"/>
        <v>34.269764027963113</v>
      </c>
      <c r="O19" s="21">
        <f t="shared" si="1"/>
        <v>19.566495245488081</v>
      </c>
      <c r="P19" s="21">
        <f t="shared" si="2"/>
        <v>5.7778905202036128</v>
      </c>
    </row>
    <row r="20" spans="2:16" ht="18.600000000000001" customHeight="1" x14ac:dyDescent="0.2">
      <c r="B20" s="15">
        <v>16</v>
      </c>
      <c r="C20" s="64" t="s">
        <v>53</v>
      </c>
      <c r="D20" s="20">
        <v>61375.09</v>
      </c>
      <c r="E20" s="20">
        <v>79438.414000000004</v>
      </c>
      <c r="F20" s="20">
        <v>83313.528000000006</v>
      </c>
      <c r="G20" s="20">
        <v>43070.81</v>
      </c>
      <c r="H20" s="20">
        <v>55328.641000000003</v>
      </c>
      <c r="I20" s="20">
        <v>56169.095999999998</v>
      </c>
      <c r="J20" s="20">
        <v>47159.54</v>
      </c>
      <c r="K20" s="20">
        <v>52201.347000000002</v>
      </c>
      <c r="L20" s="86">
        <v>53972.767</v>
      </c>
      <c r="N20" s="21">
        <f t="shared" si="0"/>
        <v>-4.1518638378152897</v>
      </c>
      <c r="O20" s="21">
        <f t="shared" si="1"/>
        <v>-13.030976606672855</v>
      </c>
      <c r="P20" s="21">
        <f t="shared" si="2"/>
        <v>-9.6265626620707732</v>
      </c>
    </row>
    <row r="21" spans="2:16" ht="18.600000000000001" customHeight="1" x14ac:dyDescent="0.2">
      <c r="B21" s="15">
        <v>17</v>
      </c>
      <c r="C21" s="64" t="s">
        <v>5</v>
      </c>
      <c r="D21" s="20">
        <v>70069.679999999993</v>
      </c>
      <c r="E21" s="20">
        <v>76993.494999999995</v>
      </c>
      <c r="F21" s="20">
        <v>93186.603000000003</v>
      </c>
      <c r="G21" s="20">
        <v>46839.44</v>
      </c>
      <c r="H21" s="20">
        <v>59235.925000000003</v>
      </c>
      <c r="I21" s="20">
        <v>63051.611499999999</v>
      </c>
      <c r="J21" s="20">
        <v>57196.08</v>
      </c>
      <c r="K21" s="5">
        <v>60240.671999999999</v>
      </c>
      <c r="L21" s="86">
        <v>67420.569699999993</v>
      </c>
      <c r="N21" s="21">
        <f t="shared" si="0"/>
        <v>12.001787165915781</v>
      </c>
      <c r="O21" s="21">
        <f t="shared" si="1"/>
        <v>-8.1084925870576079</v>
      </c>
      <c r="P21" s="21">
        <f t="shared" si="2"/>
        <v>-1.101312074340747</v>
      </c>
    </row>
    <row r="22" spans="2:16" ht="18.600000000000001" customHeight="1" x14ac:dyDescent="0.2">
      <c r="B22" s="15">
        <v>18</v>
      </c>
      <c r="C22" s="64" t="s">
        <v>60</v>
      </c>
      <c r="D22" s="20">
        <v>787.423</v>
      </c>
      <c r="E22" s="20">
        <v>879.45</v>
      </c>
      <c r="F22" s="20">
        <v>1037.029</v>
      </c>
      <c r="G22" s="20">
        <v>358.35</v>
      </c>
      <c r="H22" s="20">
        <v>411.96</v>
      </c>
      <c r="I22" s="20">
        <v>371.10199999999998</v>
      </c>
      <c r="J22" s="20">
        <v>606.58000000000004</v>
      </c>
      <c r="K22" s="20">
        <v>681.38</v>
      </c>
      <c r="L22" s="86">
        <v>856.20699999999999</v>
      </c>
      <c r="N22" s="21">
        <f t="shared" si="0"/>
        <v>8.8879032349764007</v>
      </c>
      <c r="O22" s="21">
        <f t="shared" si="1"/>
        <v>-24.467953199339746</v>
      </c>
      <c r="P22" s="21">
        <f t="shared" si="2"/>
        <v>12.637782735037714</v>
      </c>
    </row>
    <row r="23" spans="2:16" ht="18.600000000000001" customHeight="1" x14ac:dyDescent="0.2">
      <c r="B23" s="15">
        <v>19</v>
      </c>
      <c r="C23" s="64" t="s">
        <v>99</v>
      </c>
      <c r="D23" s="20">
        <v>3308.71</v>
      </c>
      <c r="E23" s="20">
        <v>4646.8900000000003</v>
      </c>
      <c r="F23" s="20">
        <v>7804.6406999999999</v>
      </c>
      <c r="G23" s="20">
        <v>1938.62</v>
      </c>
      <c r="H23" s="20">
        <v>1941.52</v>
      </c>
      <c r="I23" s="20">
        <v>3421.8890000000001</v>
      </c>
      <c r="J23" s="20">
        <v>3417.2</v>
      </c>
      <c r="K23" s="20">
        <v>4641.62</v>
      </c>
      <c r="L23" s="86">
        <v>6568.2731999999996</v>
      </c>
      <c r="N23" s="21">
        <f t="shared" si="0"/>
        <v>58.924066052779366</v>
      </c>
      <c r="O23" s="21">
        <f t="shared" si="1"/>
        <v>61.697939758539704</v>
      </c>
      <c r="P23" s="21">
        <f t="shared" si="2"/>
        <v>28.488206186633111</v>
      </c>
    </row>
    <row r="24" spans="2:16" ht="18.600000000000001" customHeight="1" x14ac:dyDescent="0.2">
      <c r="B24" s="15">
        <v>20</v>
      </c>
      <c r="C24" s="64" t="s">
        <v>97</v>
      </c>
      <c r="D24" s="20">
        <v>708.83</v>
      </c>
      <c r="E24" s="20">
        <v>502.03199999999998</v>
      </c>
      <c r="F24" s="20">
        <v>1506.8642</v>
      </c>
      <c r="G24" s="20">
        <v>6521.44</v>
      </c>
      <c r="H24" s="20">
        <v>5806.848</v>
      </c>
      <c r="I24" s="20">
        <v>4959.1208999999999</v>
      </c>
      <c r="J24" s="20">
        <v>1100.29</v>
      </c>
      <c r="K24" s="20">
        <v>1193.0709999999999</v>
      </c>
      <c r="L24" s="86">
        <v>2284.4512</v>
      </c>
      <c r="N24" s="21">
        <f t="shared" si="0"/>
        <v>191.12301813430221</v>
      </c>
      <c r="O24" s="21">
        <f t="shared" si="1"/>
        <v>-29.148747892143898</v>
      </c>
      <c r="P24" s="21">
        <f t="shared" si="2"/>
        <v>78.456550850703792</v>
      </c>
    </row>
    <row r="25" spans="2:16" ht="18.600000000000001" customHeight="1" x14ac:dyDescent="0.2">
      <c r="B25" s="15">
        <v>21</v>
      </c>
      <c r="C25" s="64" t="s">
        <v>39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86">
        <v>0</v>
      </c>
      <c r="N25" s="21" t="e">
        <f t="shared" si="0"/>
        <v>#DIV/0!</v>
      </c>
      <c r="O25" s="21" t="e">
        <f t="shared" si="1"/>
        <v>#DIV/0!</v>
      </c>
      <c r="P25" s="21" t="e">
        <f t="shared" si="2"/>
        <v>#DIV/0!</v>
      </c>
    </row>
    <row r="26" spans="2:16" ht="18.600000000000001" customHeight="1" x14ac:dyDescent="0.2">
      <c r="B26" s="15">
        <v>22</v>
      </c>
      <c r="C26" s="64" t="s">
        <v>91</v>
      </c>
      <c r="D26" s="20">
        <v>187851.18</v>
      </c>
      <c r="E26" s="20">
        <v>201218.9921</v>
      </c>
      <c r="F26" s="20">
        <v>223377.85819999999</v>
      </c>
      <c r="G26" s="20">
        <v>120957.29</v>
      </c>
      <c r="H26" s="20">
        <v>148523.93</v>
      </c>
      <c r="I26" s="20">
        <v>160283.5215</v>
      </c>
      <c r="J26" s="20">
        <v>103574.25</v>
      </c>
      <c r="K26" s="5">
        <v>109216.13499999999</v>
      </c>
      <c r="L26" s="87">
        <v>138277.82190000001</v>
      </c>
      <c r="N26" s="21">
        <f t="shared" si="0"/>
        <v>1.9823134346024709</v>
      </c>
      <c r="O26" s="21">
        <f t="shared" si="1"/>
        <v>-6.6323590515009876</v>
      </c>
      <c r="P26" s="21">
        <f t="shared" si="2"/>
        <v>13.589334692167981</v>
      </c>
    </row>
    <row r="27" spans="2:16" ht="18.600000000000001" customHeight="1" x14ac:dyDescent="0.2">
      <c r="B27" s="15">
        <v>23</v>
      </c>
      <c r="C27" s="64" t="s">
        <v>59</v>
      </c>
      <c r="D27" s="20">
        <v>588.73</v>
      </c>
      <c r="E27" s="20">
        <v>331.44799999999998</v>
      </c>
      <c r="F27" s="20">
        <v>280.63200000000001</v>
      </c>
      <c r="G27" s="20">
        <v>61.677999999999997</v>
      </c>
      <c r="H27" s="20">
        <v>67.45</v>
      </c>
      <c r="I27" s="20">
        <v>67.438000000000002</v>
      </c>
      <c r="J27" s="20">
        <v>441.79</v>
      </c>
      <c r="K27" s="20">
        <v>548.55899999999997</v>
      </c>
      <c r="L27" s="87">
        <v>600.06780000000003</v>
      </c>
      <c r="N27" s="21">
        <f t="shared" si="0"/>
        <v>-24.361515049117802</v>
      </c>
      <c r="O27" s="21">
        <f t="shared" si="1"/>
        <v>-14.567790956263901</v>
      </c>
      <c r="P27" s="21">
        <f t="shared" si="2"/>
        <v>-3.6301622614887243</v>
      </c>
    </row>
    <row r="28" spans="2:16" ht="18.600000000000001" customHeight="1" x14ac:dyDescent="0.2">
      <c r="B28" s="15">
        <v>24</v>
      </c>
      <c r="C28" s="64" t="s">
        <v>82</v>
      </c>
      <c r="D28" s="20">
        <v>2488.69</v>
      </c>
      <c r="E28" s="20">
        <v>3095.06</v>
      </c>
      <c r="F28" s="20">
        <v>3439.9456</v>
      </c>
      <c r="G28" s="20">
        <v>2958.63</v>
      </c>
      <c r="H28" s="20">
        <v>3756.7710000000002</v>
      </c>
      <c r="I28" s="20">
        <v>3581.4956000000002</v>
      </c>
      <c r="J28" s="20">
        <v>830.36</v>
      </c>
      <c r="K28" s="20">
        <v>1422.6849999999999</v>
      </c>
      <c r="L28" s="87">
        <v>1456.2551000000001</v>
      </c>
      <c r="N28" s="21">
        <f t="shared" si="0"/>
        <v>2.1130990029272478</v>
      </c>
      <c r="O28" s="21">
        <f t="shared" si="1"/>
        <v>-19.215586483711675</v>
      </c>
      <c r="P28" s="21">
        <f t="shared" si="2"/>
        <v>-10.660370145183217</v>
      </c>
    </row>
    <row r="29" spans="2:16" ht="18.600000000000001" customHeight="1" x14ac:dyDescent="0.2">
      <c r="B29" s="15">
        <v>25</v>
      </c>
      <c r="C29" s="64" t="s">
        <v>6</v>
      </c>
      <c r="D29" s="20">
        <v>55596.82</v>
      </c>
      <c r="E29" s="20">
        <v>72053.656300000002</v>
      </c>
      <c r="F29" s="20">
        <v>81130.262300000002</v>
      </c>
      <c r="G29" s="20">
        <v>66758.149999999994</v>
      </c>
      <c r="H29" s="20">
        <v>91025.346000000005</v>
      </c>
      <c r="I29" s="20">
        <v>104956.765</v>
      </c>
      <c r="J29" s="20">
        <v>16097.43</v>
      </c>
      <c r="K29" s="20">
        <v>12494.736000000001</v>
      </c>
      <c r="L29" s="87">
        <v>15460.466700000001</v>
      </c>
      <c r="N29" s="21">
        <f t="shared" si="0"/>
        <v>3.5670095982485215</v>
      </c>
      <c r="O29" s="21">
        <f t="shared" si="1"/>
        <v>0.75498878850731721</v>
      </c>
      <c r="P29" s="21">
        <f t="shared" si="2"/>
        <v>10.71584123746192</v>
      </c>
    </row>
    <row r="30" spans="2:16" ht="18.600000000000001" customHeight="1" x14ac:dyDescent="0.2">
      <c r="B30" s="15">
        <v>26</v>
      </c>
      <c r="C30" s="64" t="s">
        <v>35</v>
      </c>
      <c r="D30" s="20">
        <v>36.78</v>
      </c>
      <c r="E30" s="20">
        <v>653.55200000000002</v>
      </c>
      <c r="F30" s="20">
        <v>1915.165</v>
      </c>
      <c r="G30" s="20">
        <v>152.93</v>
      </c>
      <c r="H30" s="20">
        <v>271.14800000000002</v>
      </c>
      <c r="I30" s="20">
        <v>288.18700000000001</v>
      </c>
      <c r="J30" s="20">
        <v>0</v>
      </c>
      <c r="K30" s="20">
        <v>0</v>
      </c>
      <c r="L30" s="87">
        <v>0</v>
      </c>
      <c r="N30" s="21">
        <f t="shared" si="0"/>
        <v>184.0094214997429</v>
      </c>
      <c r="O30" s="21">
        <f t="shared" si="1"/>
        <v>-8.2659779898800707</v>
      </c>
      <c r="P30" s="21" t="e">
        <f t="shared" si="2"/>
        <v>#DIV/0!</v>
      </c>
    </row>
    <row r="31" spans="2:16" ht="18.600000000000001" customHeight="1" x14ac:dyDescent="0.2">
      <c r="B31" s="15">
        <v>27</v>
      </c>
      <c r="C31" s="64" t="s">
        <v>62</v>
      </c>
      <c r="D31" s="20">
        <v>2391.65</v>
      </c>
      <c r="E31" s="20">
        <v>2216.5390000000002</v>
      </c>
      <c r="F31" s="20">
        <v>3563.4418000000001</v>
      </c>
      <c r="G31" s="20">
        <v>216.02</v>
      </c>
      <c r="H31" s="20">
        <v>324.93299999999999</v>
      </c>
      <c r="I31" s="20">
        <v>373.3836</v>
      </c>
      <c r="J31" s="20">
        <v>2220.41</v>
      </c>
      <c r="K31" s="20">
        <v>2580.3200000000002</v>
      </c>
      <c r="L31" s="87">
        <v>2749.2707999999998</v>
      </c>
      <c r="N31" s="21">
        <f t="shared" si="0"/>
        <v>51.736032088765398</v>
      </c>
      <c r="O31" s="21">
        <f t="shared" si="1"/>
        <v>0.36095087294919637</v>
      </c>
      <c r="P31" s="21">
        <f t="shared" si="2"/>
        <v>-6.4723314937682295</v>
      </c>
    </row>
    <row r="32" spans="2:16" ht="18.600000000000001" customHeight="1" x14ac:dyDescent="0.2">
      <c r="B32" s="15">
        <v>28</v>
      </c>
      <c r="C32" s="64" t="s">
        <v>78</v>
      </c>
      <c r="D32" s="20">
        <v>1862.7090000000001</v>
      </c>
      <c r="E32" s="20">
        <v>1315</v>
      </c>
      <c r="F32" s="20">
        <v>1802.72</v>
      </c>
      <c r="G32" s="20">
        <v>1302.02</v>
      </c>
      <c r="H32" s="20">
        <v>1852.742</v>
      </c>
      <c r="I32" s="20">
        <v>1901.5736999999999</v>
      </c>
      <c r="J32" s="20">
        <v>1026.2</v>
      </c>
      <c r="K32" s="5">
        <v>1023.758</v>
      </c>
      <c r="L32" s="87">
        <v>1359.9090000000001</v>
      </c>
      <c r="N32" s="21">
        <f t="shared" si="0"/>
        <v>28.058973384030423</v>
      </c>
      <c r="O32" s="21">
        <f t="shared" si="1"/>
        <v>-11.914355101789674</v>
      </c>
      <c r="P32" s="21">
        <f t="shared" si="2"/>
        <v>19.815005929135605</v>
      </c>
    </row>
    <row r="33" spans="2:16" ht="18.600000000000001" customHeight="1" x14ac:dyDescent="0.2">
      <c r="B33" s="15">
        <v>29</v>
      </c>
      <c r="C33" s="64" t="s">
        <v>106</v>
      </c>
      <c r="D33" s="20">
        <v>0</v>
      </c>
      <c r="E33" s="20" t="s">
        <v>105</v>
      </c>
      <c r="F33" s="20" t="s">
        <v>105</v>
      </c>
      <c r="G33" s="20">
        <v>0</v>
      </c>
      <c r="H33" s="20" t="s">
        <v>105</v>
      </c>
      <c r="I33" s="20" t="s">
        <v>105</v>
      </c>
      <c r="J33" s="20">
        <v>0</v>
      </c>
      <c r="K33" s="20" t="s">
        <v>105</v>
      </c>
      <c r="L33" s="87" t="s">
        <v>105</v>
      </c>
      <c r="N33" s="21" t="e">
        <f t="shared" si="0"/>
        <v>#VALUE!</v>
      </c>
      <c r="O33" s="21" t="e">
        <f t="shared" si="1"/>
        <v>#VALUE!</v>
      </c>
      <c r="P33" s="21" t="e">
        <f t="shared" si="2"/>
        <v>#VALUE!</v>
      </c>
    </row>
    <row r="34" spans="2:16" ht="18.600000000000001" customHeight="1" x14ac:dyDescent="0.2">
      <c r="B34" s="15">
        <v>30</v>
      </c>
      <c r="C34" s="64" t="s">
        <v>7</v>
      </c>
      <c r="D34" s="20">
        <v>127.58</v>
      </c>
      <c r="E34" s="20">
        <v>234.01</v>
      </c>
      <c r="F34" s="20">
        <v>413.27370000000002</v>
      </c>
      <c r="G34" s="20">
        <v>367.97</v>
      </c>
      <c r="H34" s="20">
        <v>253.58</v>
      </c>
      <c r="I34" s="20">
        <v>389.7749</v>
      </c>
      <c r="J34" s="20">
        <v>1022.18</v>
      </c>
      <c r="K34" s="20">
        <v>1131.56</v>
      </c>
      <c r="L34" s="87">
        <v>2563.0641000000001</v>
      </c>
      <c r="N34" s="21">
        <f t="shared" si="0"/>
        <v>67.575145079270129</v>
      </c>
      <c r="O34" s="21">
        <f t="shared" si="1"/>
        <v>39.158849278334245</v>
      </c>
      <c r="P34" s="21">
        <f t="shared" si="2"/>
        <v>113.48713174732229</v>
      </c>
    </row>
    <row r="35" spans="2:16" ht="18.600000000000001" customHeight="1" x14ac:dyDescent="0.2">
      <c r="B35" s="15">
        <v>31</v>
      </c>
      <c r="C35" s="64" t="s">
        <v>54</v>
      </c>
      <c r="D35" s="20">
        <v>18501.599999999999</v>
      </c>
      <c r="E35" s="20">
        <v>21817.874</v>
      </c>
      <c r="F35" s="20">
        <v>28882.375700000001</v>
      </c>
      <c r="G35" s="20">
        <v>5741.7</v>
      </c>
      <c r="H35" s="20">
        <v>11826.07</v>
      </c>
      <c r="I35" s="20">
        <v>22168.010600000001</v>
      </c>
      <c r="J35" s="20">
        <v>13201.9</v>
      </c>
      <c r="K35" s="20">
        <v>18170.192999999999</v>
      </c>
      <c r="L35" s="87">
        <v>20882.219209999999</v>
      </c>
      <c r="N35" s="21">
        <f t="shared" si="0"/>
        <v>23.349422944692051</v>
      </c>
      <c r="O35" s="21">
        <f t="shared" si="1"/>
        <v>72.900358403087438</v>
      </c>
      <c r="P35" s="21">
        <f t="shared" si="2"/>
        <v>1.9056874156482557</v>
      </c>
    </row>
    <row r="36" spans="2:16" ht="18.600000000000001" customHeight="1" x14ac:dyDescent="0.2">
      <c r="B36" s="15">
        <v>32</v>
      </c>
      <c r="C36" s="64" t="s">
        <v>67</v>
      </c>
      <c r="D36" s="20">
        <v>18880.04</v>
      </c>
      <c r="E36" s="20">
        <v>22222.148000000001</v>
      </c>
      <c r="F36" s="20">
        <v>22347.99</v>
      </c>
      <c r="G36" s="20">
        <v>7502.62</v>
      </c>
      <c r="H36" s="20">
        <v>11164.91</v>
      </c>
      <c r="I36" s="20">
        <v>10631.5317</v>
      </c>
      <c r="J36" s="20">
        <v>17368.259999999998</v>
      </c>
      <c r="K36" s="20">
        <v>18066.02</v>
      </c>
      <c r="L36" s="87">
        <v>21153.313300000002</v>
      </c>
      <c r="N36" s="21">
        <f t="shared" si="0"/>
        <v>-8.4637091085884197</v>
      </c>
      <c r="O36" s="21">
        <f t="shared" si="1"/>
        <v>-19.327273618864822</v>
      </c>
      <c r="P36" s="21">
        <f t="shared" si="2"/>
        <v>4.0689509698317678</v>
      </c>
    </row>
    <row r="37" spans="2:16" s="22" customFormat="1" ht="18.600000000000001" customHeight="1" x14ac:dyDescent="0.2">
      <c r="B37" s="15">
        <v>33</v>
      </c>
      <c r="C37" s="64" t="s">
        <v>83</v>
      </c>
      <c r="D37" s="20">
        <v>0</v>
      </c>
      <c r="E37" s="20">
        <v>0</v>
      </c>
      <c r="F37" s="20">
        <v>0</v>
      </c>
      <c r="G37" s="20">
        <v>4366.54</v>
      </c>
      <c r="H37" s="20">
        <v>4340.2</v>
      </c>
      <c r="I37" s="20">
        <v>4382.9197000000004</v>
      </c>
      <c r="J37" s="20">
        <v>0</v>
      </c>
      <c r="K37" s="20">
        <v>0</v>
      </c>
      <c r="L37" s="87">
        <v>0</v>
      </c>
      <c r="N37" s="21" t="e">
        <f t="shared" si="0"/>
        <v>#DIV/0!</v>
      </c>
      <c r="O37" s="21">
        <f t="shared" si="1"/>
        <v>-13.565720473710877</v>
      </c>
      <c r="P37" s="21" t="e">
        <f t="shared" si="2"/>
        <v>#DIV/0!</v>
      </c>
    </row>
    <row r="38" spans="2:16" s="22" customFormat="1" ht="18.600000000000001" customHeight="1" x14ac:dyDescent="0.2">
      <c r="B38" s="15">
        <v>34</v>
      </c>
      <c r="C38" s="64" t="s">
        <v>115</v>
      </c>
      <c r="D38" s="20" t="s">
        <v>105</v>
      </c>
      <c r="E38" s="20">
        <v>0.27560000000000001</v>
      </c>
      <c r="F38" s="20">
        <v>13.4496</v>
      </c>
      <c r="G38" s="20" t="s">
        <v>105</v>
      </c>
      <c r="H38" s="20">
        <v>0</v>
      </c>
      <c r="I38" s="20">
        <v>0</v>
      </c>
      <c r="J38" s="20" t="s">
        <v>105</v>
      </c>
      <c r="K38" s="20">
        <v>108</v>
      </c>
      <c r="L38" s="87">
        <v>138</v>
      </c>
      <c r="N38" s="21">
        <f t="shared" si="0"/>
        <v>4771.0861103047891</v>
      </c>
      <c r="O38" s="21" t="e">
        <f t="shared" si="1"/>
        <v>#DIV/0!</v>
      </c>
      <c r="P38" s="21">
        <f t="shared" si="2"/>
        <v>14.757777777777779</v>
      </c>
    </row>
    <row r="39" spans="2:16" ht="18.600000000000001" customHeight="1" x14ac:dyDescent="0.2">
      <c r="B39" s="15">
        <v>35</v>
      </c>
      <c r="C39" s="64" t="s">
        <v>61</v>
      </c>
      <c r="D39" s="20">
        <v>34.69</v>
      </c>
      <c r="E39" s="20">
        <v>48.12</v>
      </c>
      <c r="F39" s="20">
        <v>118.089</v>
      </c>
      <c r="G39" s="20">
        <v>68.040000000000006</v>
      </c>
      <c r="H39" s="20">
        <v>126.64</v>
      </c>
      <c r="I39" s="20">
        <v>122.43600000000001</v>
      </c>
      <c r="J39" s="20">
        <v>158.01</v>
      </c>
      <c r="K39" s="20">
        <v>193.24</v>
      </c>
      <c r="L39" s="87">
        <v>275.30500000000001</v>
      </c>
      <c r="N39" s="21">
        <f t="shared" si="0"/>
        <v>136.37523690773065</v>
      </c>
      <c r="O39" s="21">
        <f t="shared" si="1"/>
        <v>-17.869646241313959</v>
      </c>
      <c r="P39" s="21">
        <f t="shared" si="2"/>
        <v>29.447915545435723</v>
      </c>
    </row>
    <row r="40" spans="2:16" ht="18.600000000000001" customHeight="1" x14ac:dyDescent="0.2">
      <c r="B40" s="15">
        <v>36</v>
      </c>
      <c r="C40" s="64" t="s">
        <v>68</v>
      </c>
      <c r="D40" s="20">
        <v>802.49</v>
      </c>
      <c r="E40" s="20">
        <v>1129.49</v>
      </c>
      <c r="F40" s="20">
        <v>1706.9319</v>
      </c>
      <c r="G40" s="20">
        <v>335.68</v>
      </c>
      <c r="H40" s="20">
        <v>359.87</v>
      </c>
      <c r="I40" s="20">
        <v>530.89300000000003</v>
      </c>
      <c r="J40" s="20">
        <v>608.41999999999996</v>
      </c>
      <c r="K40" s="20">
        <v>979.63</v>
      </c>
      <c r="L40" s="87">
        <v>1477.2158999999999</v>
      </c>
      <c r="N40" s="21">
        <f t="shared" si="0"/>
        <v>42.094126818298534</v>
      </c>
      <c r="O40" s="21">
        <f t="shared" si="1"/>
        <v>32.973550170895052</v>
      </c>
      <c r="P40" s="21">
        <f t="shared" si="2"/>
        <v>37.773248471361626</v>
      </c>
    </row>
    <row r="41" spans="2:16" s="22" customFormat="1" ht="18.600000000000001" customHeight="1" x14ac:dyDescent="0.2">
      <c r="B41" s="15">
        <v>37</v>
      </c>
      <c r="C41" s="64" t="s">
        <v>44</v>
      </c>
      <c r="D41" s="20">
        <v>378.69</v>
      </c>
      <c r="E41" s="20">
        <v>2124.279</v>
      </c>
      <c r="F41" s="20" t="s">
        <v>124</v>
      </c>
      <c r="G41" s="20">
        <v>1383.13</v>
      </c>
      <c r="H41" s="20">
        <v>2073.0479999999998</v>
      </c>
      <c r="I41" s="20" t="s">
        <v>124</v>
      </c>
      <c r="J41" s="20">
        <v>23.768999999999998</v>
      </c>
      <c r="K41" s="20">
        <v>13.7531</v>
      </c>
      <c r="L41" s="20" t="s">
        <v>124</v>
      </c>
      <c r="N41" s="21" t="e">
        <f t="shared" si="0"/>
        <v>#VALUE!</v>
      </c>
      <c r="O41" s="21" t="e">
        <f t="shared" si="1"/>
        <v>#VALUE!</v>
      </c>
      <c r="P41" s="21" t="e">
        <f t="shared" si="2"/>
        <v>#VALUE!</v>
      </c>
    </row>
    <row r="42" spans="2:16" ht="18.600000000000001" customHeight="1" x14ac:dyDescent="0.2">
      <c r="B42" s="15">
        <v>38</v>
      </c>
      <c r="C42" s="64" t="s">
        <v>73</v>
      </c>
      <c r="D42" s="20">
        <v>7318.53</v>
      </c>
      <c r="E42" s="20">
        <v>7112.9809999999998</v>
      </c>
      <c r="F42" s="20">
        <v>7699.4624999999996</v>
      </c>
      <c r="G42" s="20">
        <v>3692.71</v>
      </c>
      <c r="H42" s="20">
        <v>3057.3829999999998</v>
      </c>
      <c r="I42" s="20">
        <v>2211.6970999999999</v>
      </c>
      <c r="J42" s="20">
        <v>4835.93</v>
      </c>
      <c r="K42" s="20">
        <v>4676.2039999999997</v>
      </c>
      <c r="L42" s="87">
        <v>4653.6277</v>
      </c>
      <c r="N42" s="21">
        <f t="shared" si="0"/>
        <v>-0.78477201471506852</v>
      </c>
      <c r="O42" s="21">
        <f t="shared" si="1"/>
        <v>-42.210450130062213</v>
      </c>
      <c r="P42" s="21">
        <f t="shared" si="2"/>
        <v>-13.502791169931845</v>
      </c>
    </row>
    <row r="43" spans="2:16" ht="18.600000000000001" customHeight="1" x14ac:dyDescent="0.2">
      <c r="B43" s="15">
        <v>39</v>
      </c>
      <c r="C43" s="64" t="s">
        <v>50</v>
      </c>
      <c r="D43" s="20">
        <v>8626.1</v>
      </c>
      <c r="E43" s="20">
        <v>10915.343000000001</v>
      </c>
      <c r="F43" s="20">
        <v>13521.788200000001</v>
      </c>
      <c r="G43" s="20">
        <v>2983.63</v>
      </c>
      <c r="H43" s="20">
        <v>2943.2629999999999</v>
      </c>
      <c r="I43" s="20">
        <v>3176.5639000000001</v>
      </c>
      <c r="J43" s="20">
        <v>7046.74</v>
      </c>
      <c r="K43" s="20">
        <v>8931.3441999999995</v>
      </c>
      <c r="L43" s="87">
        <v>10764.6131</v>
      </c>
      <c r="N43" s="21">
        <f t="shared" si="0"/>
        <v>14.848729234619563</v>
      </c>
      <c r="O43" s="21">
        <f t="shared" si="1"/>
        <v>-6.6233926937551901</v>
      </c>
      <c r="P43" s="21">
        <f t="shared" si="2"/>
        <v>7.5062372488118996</v>
      </c>
    </row>
    <row r="44" spans="2:16" ht="18.600000000000001" customHeight="1" x14ac:dyDescent="0.2">
      <c r="B44" s="15">
        <v>40</v>
      </c>
      <c r="C44" s="64" t="s">
        <v>8</v>
      </c>
      <c r="D44" s="20">
        <v>1929.69</v>
      </c>
      <c r="E44" s="20">
        <v>1655.366</v>
      </c>
      <c r="F44" s="20">
        <v>2059.5868</v>
      </c>
      <c r="G44" s="20">
        <v>4956.22</v>
      </c>
      <c r="H44" s="20">
        <v>5226.2700000000004</v>
      </c>
      <c r="I44" s="20">
        <v>5974.5366999999997</v>
      </c>
      <c r="J44" s="20">
        <v>1276.32</v>
      </c>
      <c r="K44" s="20">
        <v>1422.865</v>
      </c>
      <c r="L44" s="87">
        <v>827.01419999999996</v>
      </c>
      <c r="N44" s="21">
        <f t="shared" si="0"/>
        <v>15.388817349154211</v>
      </c>
      <c r="O44" s="21">
        <f t="shared" si="1"/>
        <v>-0.23258624219569413</v>
      </c>
      <c r="P44" s="21">
        <f t="shared" si="2"/>
        <v>-54.896833009456273</v>
      </c>
    </row>
    <row r="45" spans="2:16" ht="18.600000000000001" customHeight="1" x14ac:dyDescent="0.2">
      <c r="B45" s="15">
        <v>41</v>
      </c>
      <c r="C45" s="64" t="s">
        <v>51</v>
      </c>
      <c r="D45" s="20">
        <v>98.02</v>
      </c>
      <c r="E45" s="20">
        <v>124.065</v>
      </c>
      <c r="F45" s="20">
        <v>107.544</v>
      </c>
      <c r="G45" s="20">
        <v>35.97</v>
      </c>
      <c r="H45" s="20">
        <v>32.94</v>
      </c>
      <c r="I45" s="20">
        <v>33.593000000000004</v>
      </c>
      <c r="J45" s="20">
        <v>37.72</v>
      </c>
      <c r="K45" s="20">
        <v>13.162000000000001</v>
      </c>
      <c r="L45" s="87">
        <v>5.5537999999999998</v>
      </c>
      <c r="N45" s="21">
        <f t="shared" si="0"/>
        <v>-22.346406722282673</v>
      </c>
      <c r="O45" s="21">
        <f t="shared" si="1"/>
        <v>-12.567607771706115</v>
      </c>
      <c r="P45" s="21">
        <f t="shared" si="2"/>
        <v>-70.82428506306033</v>
      </c>
    </row>
    <row r="46" spans="2:16" ht="18.600000000000001" customHeight="1" x14ac:dyDescent="0.2">
      <c r="B46" s="15">
        <v>42</v>
      </c>
      <c r="C46" s="64" t="s">
        <v>9</v>
      </c>
      <c r="D46" s="20">
        <v>132582.76</v>
      </c>
      <c r="E46" s="20">
        <v>144090.46290000001</v>
      </c>
      <c r="F46" s="20">
        <v>145896.20619999999</v>
      </c>
      <c r="G46" s="20">
        <v>95344.59</v>
      </c>
      <c r="H46" s="20">
        <v>110050.83</v>
      </c>
      <c r="I46" s="20">
        <v>110934.37699999999</v>
      </c>
      <c r="J46" s="20">
        <v>85879.62</v>
      </c>
      <c r="K46" s="20">
        <v>87076.27</v>
      </c>
      <c r="L46" s="87">
        <v>84958.282000000007</v>
      </c>
      <c r="N46" s="21">
        <f t="shared" si="0"/>
        <v>-7.776798876443908</v>
      </c>
      <c r="O46" s="21">
        <f t="shared" si="1"/>
        <v>-13.747146445874156</v>
      </c>
      <c r="P46" s="21">
        <f t="shared" si="2"/>
        <v>-15.452336617082928</v>
      </c>
    </row>
    <row r="47" spans="2:16" ht="18.600000000000001" customHeight="1" x14ac:dyDescent="0.2">
      <c r="B47" s="15">
        <v>43</v>
      </c>
      <c r="C47" s="64" t="s">
        <v>84</v>
      </c>
      <c r="D47" s="20">
        <v>19822.009999999998</v>
      </c>
      <c r="E47" s="20">
        <v>28605.19</v>
      </c>
      <c r="F47" s="20">
        <v>30066.452600000001</v>
      </c>
      <c r="G47" s="20">
        <v>9826.33</v>
      </c>
      <c r="H47" s="20">
        <v>13064.642</v>
      </c>
      <c r="I47" s="20">
        <v>12436.903399999999</v>
      </c>
      <c r="J47" s="20">
        <v>14271.87</v>
      </c>
      <c r="K47" s="5">
        <v>20513.621999999999</v>
      </c>
      <c r="L47" s="87">
        <v>22546.1116</v>
      </c>
      <c r="N47" s="21">
        <f t="shared" si="0"/>
        <v>-3.9216172205113757</v>
      </c>
      <c r="O47" s="21">
        <f t="shared" si="1"/>
        <v>-19.354866447928696</v>
      </c>
      <c r="P47" s="21">
        <f t="shared" si="2"/>
        <v>-3.1120003303170893</v>
      </c>
    </row>
    <row r="48" spans="2:16" ht="18.600000000000001" customHeight="1" x14ac:dyDescent="0.2">
      <c r="B48" s="15">
        <v>44</v>
      </c>
      <c r="C48" s="64" t="s">
        <v>40</v>
      </c>
      <c r="D48" s="20">
        <v>690.54</v>
      </c>
      <c r="E48" s="20">
        <v>886.23</v>
      </c>
      <c r="F48" s="20">
        <v>144.1815</v>
      </c>
      <c r="G48" s="20">
        <v>234.13</v>
      </c>
      <c r="H48" s="20">
        <v>406.57</v>
      </c>
      <c r="I48" s="20">
        <v>401.41359999999997</v>
      </c>
      <c r="J48" s="20">
        <v>597.89</v>
      </c>
      <c r="K48" s="20">
        <v>802.89599999999996</v>
      </c>
      <c r="L48" s="86">
        <v>631.82500000000005</v>
      </c>
      <c r="N48" s="21">
        <f t="shared" si="0"/>
        <v>-92.760916353542527</v>
      </c>
      <c r="O48" s="21">
        <f t="shared" si="1"/>
        <v>-15.818268686819003</v>
      </c>
      <c r="P48" s="21">
        <f t="shared" si="2"/>
        <v>-34.326744584603723</v>
      </c>
    </row>
    <row r="49" spans="2:16" ht="18.600000000000001" customHeight="1" thickBot="1" x14ac:dyDescent="0.25">
      <c r="B49" s="67">
        <v>45</v>
      </c>
      <c r="C49" s="68" t="s">
        <v>52</v>
      </c>
      <c r="D49" s="23">
        <v>2800.73</v>
      </c>
      <c r="E49" s="23">
        <v>2966.9430000000002</v>
      </c>
      <c r="F49" s="23">
        <v>3607.96047</v>
      </c>
      <c r="G49" s="23">
        <v>1791.91</v>
      </c>
      <c r="H49" s="23">
        <v>1800.336</v>
      </c>
      <c r="I49" s="23">
        <v>1701.4484</v>
      </c>
      <c r="J49" s="23">
        <v>1947.93</v>
      </c>
      <c r="K49" s="23">
        <v>2593.0880000000002</v>
      </c>
      <c r="L49" s="107">
        <v>2924.502</v>
      </c>
      <c r="N49" s="21">
        <f t="shared" si="0"/>
        <v>12.575317999031318</v>
      </c>
      <c r="O49" s="21">
        <f t="shared" si="1"/>
        <v>-20.042730245909652</v>
      </c>
      <c r="P49" s="21">
        <f t="shared" si="2"/>
        <v>-0.23933077473653874</v>
      </c>
    </row>
    <row r="50" spans="2:16" ht="18.600000000000001" customHeight="1" thickBot="1" x14ac:dyDescent="0.25">
      <c r="B50" s="131" t="s">
        <v>37</v>
      </c>
      <c r="C50" s="132"/>
      <c r="D50" s="24">
        <f>SUM(D5:D49)</f>
        <v>855824.95099999977</v>
      </c>
      <c r="E50" s="24">
        <f t="shared" ref="E50:L50" si="3">SUM(E5:E49)</f>
        <v>1008119.3493</v>
      </c>
      <c r="F50" s="24">
        <f t="shared" si="3"/>
        <v>1099160.7649699999</v>
      </c>
      <c r="G50" s="24">
        <f t="shared" si="3"/>
        <v>674077.02399999998</v>
      </c>
      <c r="H50" s="24">
        <f t="shared" si="3"/>
        <v>807327.84169999964</v>
      </c>
      <c r="I50" s="24">
        <f t="shared" si="3"/>
        <v>924780.72909999988</v>
      </c>
      <c r="J50" s="24">
        <f t="shared" si="3"/>
        <v>491029.2589999999</v>
      </c>
      <c r="K50" s="24">
        <f t="shared" si="3"/>
        <v>548443.2568999998</v>
      </c>
      <c r="L50" s="108">
        <f t="shared" si="3"/>
        <v>619871.66990999982</v>
      </c>
      <c r="N50" s="21"/>
    </row>
    <row r="51" spans="2:16" ht="18.600000000000001" customHeight="1" x14ac:dyDescent="0.2">
      <c r="B51" s="25"/>
      <c r="C51" s="25"/>
      <c r="D51" s="109"/>
      <c r="E51" s="110"/>
      <c r="F51" s="110"/>
      <c r="G51" s="110"/>
      <c r="H51" s="110"/>
      <c r="I51" s="110"/>
      <c r="J51" s="110"/>
      <c r="K51" s="110"/>
      <c r="L51" s="110"/>
    </row>
    <row r="52" spans="2:16" ht="20.25" hidden="1" customHeight="1" x14ac:dyDescent="0.2">
      <c r="B52" s="41"/>
      <c r="C52" s="41"/>
      <c r="E52" s="21">
        <f>SUM(E50-D50)/D50*100</f>
        <v>17.795040694016908</v>
      </c>
      <c r="F52" s="21">
        <f>SUM(F50-E50)/E50*100</f>
        <v>9.0308172076268178</v>
      </c>
      <c r="G52" s="21"/>
      <c r="H52" s="21">
        <f>SUM(H50-G50)/G50*100</f>
        <v>19.767891940491307</v>
      </c>
      <c r="I52" s="21">
        <f>SUM(I50-H50)/H50*100</f>
        <v>14.548350909424643</v>
      </c>
      <c r="J52" s="21"/>
      <c r="K52" s="21">
        <f>SUM(K50-J50)/J50*100</f>
        <v>11.692581826371351</v>
      </c>
      <c r="L52" s="21">
        <f>SUM(L50-K50)/K50*100</f>
        <v>13.023847428399304</v>
      </c>
    </row>
    <row r="53" spans="2:16" ht="17.45" customHeight="1" x14ac:dyDescent="0.2">
      <c r="B53" s="138" t="s">
        <v>111</v>
      </c>
      <c r="C53" s="138"/>
      <c r="D53" s="138"/>
      <c r="E53" s="138"/>
      <c r="F53" s="138"/>
      <c r="G53" s="138"/>
      <c r="H53" s="138"/>
      <c r="I53" s="138"/>
      <c r="J53" s="138"/>
      <c r="K53" s="138"/>
      <c r="L53" s="138"/>
    </row>
    <row r="54" spans="2:16" ht="30.6" customHeight="1" x14ac:dyDescent="0.2">
      <c r="B54" s="139" t="s">
        <v>112</v>
      </c>
      <c r="C54" s="139"/>
      <c r="D54" s="139"/>
      <c r="E54" s="139"/>
      <c r="F54" s="139"/>
      <c r="G54" s="139"/>
      <c r="H54" s="139"/>
      <c r="I54" s="139"/>
      <c r="J54" s="139"/>
      <c r="K54" s="139"/>
      <c r="L54" s="139"/>
    </row>
    <row r="55" spans="2:16" hidden="1" x14ac:dyDescent="0.2">
      <c r="D55" s="21" t="e">
        <f>(D50-#REF!)/#REF!*100</f>
        <v>#REF!</v>
      </c>
      <c r="E55" s="21"/>
      <c r="F55" s="21"/>
      <c r="G55" s="21" t="e">
        <f>(G50-#REF!)/#REF!*100</f>
        <v>#REF!</v>
      </c>
      <c r="H55" s="21"/>
      <c r="I55" s="21"/>
      <c r="J55" s="21" t="e">
        <f>(J50-#REF!)/#REF!*100</f>
        <v>#REF!</v>
      </c>
    </row>
    <row r="56" spans="2:16" s="17" customFormat="1" ht="16.899999999999999" customHeight="1" x14ac:dyDescent="0.2">
      <c r="B56" s="138" t="s">
        <v>116</v>
      </c>
      <c r="C56" s="138"/>
      <c r="D56" s="138"/>
      <c r="E56" s="138"/>
      <c r="F56" s="138"/>
      <c r="G56" s="138"/>
      <c r="H56" s="138"/>
      <c r="I56" s="138"/>
      <c r="J56" s="138"/>
      <c r="K56" s="138"/>
      <c r="L56" s="138"/>
    </row>
    <row r="57" spans="2:16" ht="19.899999999999999" hidden="1" customHeight="1" x14ac:dyDescent="0.2">
      <c r="D57" s="21" t="e">
        <f>(D50-#REF!)/#REF!*100</f>
        <v>#REF!</v>
      </c>
      <c r="E57" s="21">
        <f>(E50-D50)/D50*100</f>
        <v>17.795040694016908</v>
      </c>
      <c r="F57" s="21"/>
      <c r="G57" s="21" t="e">
        <f>(G50-#REF!)/#REF!*100</f>
        <v>#REF!</v>
      </c>
      <c r="H57" s="21">
        <f>(H50-G50)/G50*100</f>
        <v>19.767891940491307</v>
      </c>
      <c r="I57" s="21"/>
      <c r="J57" s="21" t="e">
        <f>(J50-#REF!)/#REF!*100</f>
        <v>#REF!</v>
      </c>
      <c r="K57" s="21">
        <f>(K50-J50)/J50*100</f>
        <v>11.692581826371351</v>
      </c>
    </row>
    <row r="58" spans="2:16" x14ac:dyDescent="0.2">
      <c r="B58" s="123">
        <v>1</v>
      </c>
      <c r="C58" s="123"/>
      <c r="D58" s="123"/>
      <c r="E58" s="123"/>
      <c r="F58" s="123"/>
      <c r="G58" s="123"/>
      <c r="H58" s="123"/>
      <c r="I58" s="123"/>
      <c r="J58" s="123"/>
      <c r="K58" s="123"/>
      <c r="L58" s="123"/>
    </row>
  </sheetData>
  <sortState xmlns:xlrd2="http://schemas.microsoft.com/office/spreadsheetml/2017/richdata2" ref="B5:E50">
    <sortCondition ref="C5:C50"/>
  </sortState>
  <mergeCells count="12">
    <mergeCell ref="B58:L58"/>
    <mergeCell ref="B1:L1"/>
    <mergeCell ref="B2:K2"/>
    <mergeCell ref="G3:I3"/>
    <mergeCell ref="J3:L3"/>
    <mergeCell ref="B50:C50"/>
    <mergeCell ref="D3:F3"/>
    <mergeCell ref="C3:C4"/>
    <mergeCell ref="B3:B4"/>
    <mergeCell ref="B56:L56"/>
    <mergeCell ref="B54:L54"/>
    <mergeCell ref="B53:L53"/>
  </mergeCells>
  <phoneticPr fontId="0" type="noConversion"/>
  <printOptions horizontalCentered="1" verticalCentered="1"/>
  <pageMargins left="0.39370078740157483" right="0.39370078740157483" top="0.19685039370078741" bottom="0.19685039370078741" header="0" footer="0"/>
  <pageSetup scale="6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N56"/>
  <sheetViews>
    <sheetView view="pageBreakPreview" zoomScale="115" zoomScaleNormal="100" zoomScaleSheetLayoutView="115" workbookViewId="0">
      <pane ySplit="4" topLeftCell="A26" activePane="bottomLeft" state="frozen"/>
      <selection pane="bottomLeft" activeCell="L41" sqref="L41"/>
    </sheetView>
  </sheetViews>
  <sheetFormatPr defaultColWidth="8.7109375" defaultRowHeight="15.75" x14ac:dyDescent="0.2"/>
  <cols>
    <col min="1" max="1" width="9.7109375" style="1" customWidth="1"/>
    <col min="2" max="2" width="6.42578125" style="3" customWidth="1"/>
    <col min="3" max="3" width="45" style="3" customWidth="1"/>
    <col min="4" max="6" width="11" style="26" customWidth="1"/>
    <col min="7" max="8" width="9.7109375" style="36" customWidth="1"/>
    <col min="9" max="9" width="9.5703125" style="36" customWidth="1"/>
    <col min="10" max="10" width="9.7109375" style="1" customWidth="1"/>
    <col min="11" max="11" width="9.5703125" style="1" customWidth="1"/>
    <col min="12" max="12" width="10.42578125" style="1" customWidth="1"/>
    <col min="13" max="13" width="8.7109375" style="1"/>
    <col min="14" max="14" width="9.7109375" style="1" hidden="1" customWidth="1"/>
    <col min="15" max="16384" width="8.7109375" style="1"/>
  </cols>
  <sheetData>
    <row r="1" spans="2:14" ht="21" customHeight="1" x14ac:dyDescent="0.2">
      <c r="B1" s="124" t="s">
        <v>45</v>
      </c>
      <c r="C1" s="125"/>
      <c r="D1" s="125"/>
      <c r="E1" s="125"/>
      <c r="F1" s="125"/>
      <c r="G1" s="125"/>
      <c r="H1" s="125"/>
      <c r="I1" s="125"/>
      <c r="J1" s="125"/>
      <c r="K1" s="125"/>
      <c r="L1" s="126"/>
    </row>
    <row r="2" spans="2:14" ht="17.45" customHeight="1" x14ac:dyDescent="0.2">
      <c r="B2" s="127" t="s">
        <v>24</v>
      </c>
      <c r="C2" s="128"/>
      <c r="D2" s="128"/>
      <c r="E2" s="128"/>
      <c r="F2" s="128"/>
      <c r="G2" s="128"/>
      <c r="H2" s="128"/>
      <c r="I2" s="128"/>
      <c r="J2" s="128"/>
      <c r="K2" s="128"/>
      <c r="L2" s="106" t="s">
        <v>46</v>
      </c>
    </row>
    <row r="3" spans="2:14" ht="33.6" customHeight="1" x14ac:dyDescent="0.2">
      <c r="B3" s="136" t="s">
        <v>57</v>
      </c>
      <c r="C3" s="134" t="s">
        <v>10</v>
      </c>
      <c r="D3" s="134" t="s">
        <v>25</v>
      </c>
      <c r="E3" s="134"/>
      <c r="F3" s="134"/>
      <c r="G3" s="144" t="s">
        <v>11</v>
      </c>
      <c r="H3" s="144"/>
      <c r="I3" s="144"/>
      <c r="J3" s="142" t="s">
        <v>12</v>
      </c>
      <c r="K3" s="142"/>
      <c r="L3" s="143"/>
    </row>
    <row r="4" spans="2:14" ht="18.600000000000001" customHeight="1" thickBot="1" x14ac:dyDescent="0.25">
      <c r="B4" s="137"/>
      <c r="C4" s="141"/>
      <c r="D4" s="100">
        <v>2023</v>
      </c>
      <c r="E4" s="100">
        <v>2024</v>
      </c>
      <c r="F4" s="100">
        <v>2025</v>
      </c>
      <c r="G4" s="100">
        <v>2023</v>
      </c>
      <c r="H4" s="100">
        <v>2024</v>
      </c>
      <c r="I4" s="100">
        <v>2025</v>
      </c>
      <c r="J4" s="100">
        <v>2023</v>
      </c>
      <c r="K4" s="100">
        <v>2024</v>
      </c>
      <c r="L4" s="101">
        <v>2025</v>
      </c>
    </row>
    <row r="5" spans="2:14" ht="18" customHeight="1" x14ac:dyDescent="0.2">
      <c r="B5" s="16">
        <v>1</v>
      </c>
      <c r="C5" s="65" t="s">
        <v>79</v>
      </c>
      <c r="D5" s="28">
        <v>257.88</v>
      </c>
      <c r="E5" s="28">
        <v>436.387</v>
      </c>
      <c r="F5" s="28">
        <v>474.74599999999998</v>
      </c>
      <c r="G5" s="29">
        <v>0</v>
      </c>
      <c r="H5" s="29">
        <v>0</v>
      </c>
      <c r="I5" s="29">
        <v>0</v>
      </c>
      <c r="J5" s="30">
        <v>0</v>
      </c>
      <c r="K5" s="30">
        <v>0</v>
      </c>
      <c r="L5" s="31">
        <v>0</v>
      </c>
      <c r="N5" s="21">
        <f>(F5-E5)/E5*100-19.43</f>
        <v>-10.639866471732663</v>
      </c>
    </row>
    <row r="6" spans="2:14" ht="18" customHeight="1" x14ac:dyDescent="0.2">
      <c r="B6" s="15">
        <v>2</v>
      </c>
      <c r="C6" s="64" t="s">
        <v>34</v>
      </c>
      <c r="D6" s="5">
        <v>9849.68</v>
      </c>
      <c r="E6" s="5">
        <v>10643.477800000001</v>
      </c>
      <c r="F6" s="5">
        <v>12243.7562</v>
      </c>
      <c r="G6" s="32">
        <v>288.12</v>
      </c>
      <c r="H6" s="32">
        <v>261.87939999999998</v>
      </c>
      <c r="I6" s="32">
        <v>295.27839999999998</v>
      </c>
      <c r="J6" s="32">
        <v>41.4</v>
      </c>
      <c r="K6" s="32">
        <v>38.130000000000003</v>
      </c>
      <c r="L6" s="84">
        <v>37.81</v>
      </c>
      <c r="N6" s="21">
        <f t="shared" ref="N6:N50" si="0">(F6-E6)/E6*100-19.43</f>
        <v>-4.3947039241252597</v>
      </c>
    </row>
    <row r="7" spans="2:14" ht="18" customHeight="1" x14ac:dyDescent="0.2">
      <c r="B7" s="15">
        <v>3</v>
      </c>
      <c r="C7" s="64" t="s">
        <v>80</v>
      </c>
      <c r="D7" s="5">
        <v>17969.52</v>
      </c>
      <c r="E7" s="5">
        <v>27939.11</v>
      </c>
      <c r="F7" s="5">
        <v>37754.7644</v>
      </c>
      <c r="G7" s="32">
        <v>0</v>
      </c>
      <c r="H7" s="32">
        <v>0</v>
      </c>
      <c r="I7" s="32">
        <v>0</v>
      </c>
      <c r="J7" s="33">
        <v>0</v>
      </c>
      <c r="K7" s="33">
        <v>0</v>
      </c>
      <c r="L7" s="6">
        <v>0</v>
      </c>
      <c r="N7" s="21">
        <f t="shared" si="0"/>
        <v>15.702308795806303</v>
      </c>
    </row>
    <row r="8" spans="2:14" ht="18" customHeight="1" x14ac:dyDescent="0.2">
      <c r="B8" s="15">
        <v>4</v>
      </c>
      <c r="C8" s="64" t="s">
        <v>0</v>
      </c>
      <c r="D8" s="5">
        <v>83121.09</v>
      </c>
      <c r="E8" s="5">
        <v>106784.004</v>
      </c>
      <c r="F8" s="5">
        <v>137176.2727</v>
      </c>
      <c r="G8" s="32">
        <v>0</v>
      </c>
      <c r="H8" s="32">
        <v>0</v>
      </c>
      <c r="I8" s="32">
        <v>0</v>
      </c>
      <c r="J8" s="33">
        <v>0</v>
      </c>
      <c r="K8" s="33">
        <v>0</v>
      </c>
      <c r="L8" s="6">
        <v>0</v>
      </c>
      <c r="N8" s="21">
        <f t="shared" si="0"/>
        <v>9.0314432513693745</v>
      </c>
    </row>
    <row r="9" spans="2:14" ht="18" customHeight="1" x14ac:dyDescent="0.2">
      <c r="B9" s="15">
        <v>5</v>
      </c>
      <c r="C9" s="64" t="s">
        <v>69</v>
      </c>
      <c r="D9" s="5">
        <v>2751.03</v>
      </c>
      <c r="E9" s="5">
        <v>2558.0610000000001</v>
      </c>
      <c r="F9" s="5">
        <v>2414.761</v>
      </c>
      <c r="G9" s="32">
        <v>18.350000000000001</v>
      </c>
      <c r="H9" s="32">
        <v>18.39</v>
      </c>
      <c r="I9" s="32">
        <v>5.18</v>
      </c>
      <c r="J9" s="20">
        <v>13.39</v>
      </c>
      <c r="K9" s="20">
        <v>2.89</v>
      </c>
      <c r="L9" s="84">
        <v>0.09</v>
      </c>
      <c r="N9" s="21">
        <f t="shared" si="0"/>
        <v>-25.031899251034286</v>
      </c>
    </row>
    <row r="10" spans="2:14" ht="18" customHeight="1" x14ac:dyDescent="0.2">
      <c r="B10" s="15">
        <v>6</v>
      </c>
      <c r="C10" s="64" t="s">
        <v>2</v>
      </c>
      <c r="D10" s="5">
        <v>592.16899999999998</v>
      </c>
      <c r="E10" s="5">
        <v>575.88099999999997</v>
      </c>
      <c r="F10" s="5">
        <v>600.10839999999996</v>
      </c>
      <c r="G10" s="32">
        <v>48.88</v>
      </c>
      <c r="H10" s="32">
        <v>48.02</v>
      </c>
      <c r="I10" s="32">
        <v>35.700000000000003</v>
      </c>
      <c r="J10" s="32">
        <v>16.13</v>
      </c>
      <c r="K10" s="32">
        <v>12.67</v>
      </c>
      <c r="L10" s="84">
        <v>8.6999999999999993</v>
      </c>
      <c r="N10" s="21">
        <f t="shared" si="0"/>
        <v>-15.222985009055691</v>
      </c>
    </row>
    <row r="11" spans="2:14" ht="18" customHeight="1" x14ac:dyDescent="0.2">
      <c r="B11" s="15">
        <v>7</v>
      </c>
      <c r="C11" s="64" t="s">
        <v>77</v>
      </c>
      <c r="D11" s="20">
        <v>461.28</v>
      </c>
      <c r="E11" s="20">
        <v>379.40199999999999</v>
      </c>
      <c r="F11" s="20">
        <v>400.9255</v>
      </c>
      <c r="G11" s="13">
        <v>0</v>
      </c>
      <c r="H11" s="13">
        <v>0</v>
      </c>
      <c r="I11" s="13">
        <v>0</v>
      </c>
      <c r="J11" s="33">
        <v>0</v>
      </c>
      <c r="K11" s="33">
        <v>0</v>
      </c>
      <c r="L11" s="6">
        <v>0</v>
      </c>
      <c r="N11" s="21">
        <f t="shared" si="0"/>
        <v>-13.756993531926554</v>
      </c>
    </row>
    <row r="12" spans="2:14" ht="18" customHeight="1" x14ac:dyDescent="0.2">
      <c r="B12" s="15">
        <v>8</v>
      </c>
      <c r="C12" s="64" t="s">
        <v>81</v>
      </c>
      <c r="D12" s="5">
        <v>2053.04</v>
      </c>
      <c r="E12" s="5">
        <v>2097.94</v>
      </c>
      <c r="F12" s="5">
        <v>2123.7579999999998</v>
      </c>
      <c r="G12" s="32">
        <v>0.36</v>
      </c>
      <c r="H12" s="32">
        <v>0.36</v>
      </c>
      <c r="I12" s="32">
        <v>0</v>
      </c>
      <c r="J12" s="33">
        <v>0</v>
      </c>
      <c r="K12" s="33">
        <v>0</v>
      </c>
      <c r="L12" s="6">
        <v>0</v>
      </c>
      <c r="N12" s="21">
        <f t="shared" si="0"/>
        <v>-18.199364233486193</v>
      </c>
    </row>
    <row r="13" spans="2:14" ht="18" customHeight="1" x14ac:dyDescent="0.2">
      <c r="B13" s="15">
        <v>9</v>
      </c>
      <c r="C13" s="64" t="s">
        <v>3</v>
      </c>
      <c r="D13" s="5">
        <v>53205.05</v>
      </c>
      <c r="E13" s="5">
        <v>53910.089</v>
      </c>
      <c r="F13" s="5">
        <v>70701.871899999998</v>
      </c>
      <c r="G13" s="32">
        <v>31.56</v>
      </c>
      <c r="H13" s="32">
        <v>0.15590000000000001</v>
      </c>
      <c r="I13" s="32">
        <v>0</v>
      </c>
      <c r="J13" s="32">
        <v>0</v>
      </c>
      <c r="K13" s="32">
        <v>0</v>
      </c>
      <c r="L13" s="6">
        <v>0</v>
      </c>
      <c r="N13" s="21">
        <f t="shared" si="0"/>
        <v>11.717755849559069</v>
      </c>
    </row>
    <row r="14" spans="2:14" ht="18" customHeight="1" x14ac:dyDescent="0.2">
      <c r="B14" s="15">
        <v>10</v>
      </c>
      <c r="C14" s="64" t="s">
        <v>4</v>
      </c>
      <c r="D14" s="5">
        <v>61632</v>
      </c>
      <c r="E14" s="5">
        <v>58854.491800000003</v>
      </c>
      <c r="F14" s="5">
        <v>86112.642600000006</v>
      </c>
      <c r="G14" s="32">
        <v>0</v>
      </c>
      <c r="H14" s="32">
        <v>0</v>
      </c>
      <c r="I14" s="32">
        <v>0</v>
      </c>
      <c r="J14" s="33">
        <v>0</v>
      </c>
      <c r="K14" s="33">
        <v>0</v>
      </c>
      <c r="L14" s="6">
        <v>0</v>
      </c>
      <c r="N14" s="21">
        <f t="shared" si="0"/>
        <v>26.884478243443098</v>
      </c>
    </row>
    <row r="15" spans="2:14" ht="18" customHeight="1" x14ac:dyDescent="0.2">
      <c r="B15" s="15">
        <v>11</v>
      </c>
      <c r="C15" s="64" t="s">
        <v>47</v>
      </c>
      <c r="D15" s="5">
        <v>217302.18</v>
      </c>
      <c r="E15" s="5">
        <v>259587.65</v>
      </c>
      <c r="F15" s="5">
        <v>270544.72399999999</v>
      </c>
      <c r="G15" s="32">
        <v>207.3</v>
      </c>
      <c r="H15" s="32">
        <v>196.06</v>
      </c>
      <c r="I15" s="32">
        <v>104.755</v>
      </c>
      <c r="J15" s="20">
        <v>0</v>
      </c>
      <c r="K15" s="20">
        <v>0</v>
      </c>
      <c r="L15" s="6">
        <v>0</v>
      </c>
      <c r="N15" s="21">
        <f t="shared" si="0"/>
        <v>-15.209046499323064</v>
      </c>
    </row>
    <row r="16" spans="2:14" ht="18" customHeight="1" x14ac:dyDescent="0.2">
      <c r="B16" s="15">
        <v>12</v>
      </c>
      <c r="C16" s="64" t="s">
        <v>65</v>
      </c>
      <c r="D16" s="5">
        <v>1383.36</v>
      </c>
      <c r="E16" s="5">
        <v>1045.586</v>
      </c>
      <c r="F16" s="5">
        <v>1051.107</v>
      </c>
      <c r="G16" s="13">
        <v>103.93</v>
      </c>
      <c r="H16" s="13">
        <v>0</v>
      </c>
      <c r="I16" s="13">
        <v>0</v>
      </c>
      <c r="J16" s="32">
        <v>37.93</v>
      </c>
      <c r="K16" s="32">
        <v>0</v>
      </c>
      <c r="L16" s="6">
        <v>0</v>
      </c>
      <c r="N16" s="21">
        <f t="shared" si="0"/>
        <v>-18.901970741765865</v>
      </c>
    </row>
    <row r="17" spans="2:14" ht="18" customHeight="1" x14ac:dyDescent="0.2">
      <c r="B17" s="15">
        <v>13</v>
      </c>
      <c r="C17" s="64" t="s">
        <v>41</v>
      </c>
      <c r="D17" s="5">
        <v>19842.89</v>
      </c>
      <c r="E17" s="5">
        <v>21260.977800000001</v>
      </c>
      <c r="F17" s="5">
        <v>31444.284599999999</v>
      </c>
      <c r="G17" s="13">
        <v>2.93</v>
      </c>
      <c r="H17" s="13">
        <v>2.93</v>
      </c>
      <c r="I17" s="13">
        <v>2.93</v>
      </c>
      <c r="J17" s="33">
        <v>0</v>
      </c>
      <c r="K17" s="33">
        <v>0</v>
      </c>
      <c r="L17" s="6">
        <v>0</v>
      </c>
      <c r="N17" s="21">
        <f t="shared" si="0"/>
        <v>28.466700216675818</v>
      </c>
    </row>
    <row r="18" spans="2:14" ht="18" customHeight="1" x14ac:dyDescent="0.2">
      <c r="B18" s="15">
        <v>14</v>
      </c>
      <c r="C18" s="64" t="s">
        <v>104</v>
      </c>
      <c r="D18" s="5">
        <v>18286.560000000001</v>
      </c>
      <c r="E18" s="5">
        <v>8148.6790000000001</v>
      </c>
      <c r="F18" s="5">
        <v>7783.1220000000003</v>
      </c>
      <c r="G18" s="32">
        <v>0</v>
      </c>
      <c r="H18" s="32">
        <v>0</v>
      </c>
      <c r="I18" s="32">
        <v>0</v>
      </c>
      <c r="J18" s="33">
        <v>0</v>
      </c>
      <c r="K18" s="33">
        <v>0</v>
      </c>
      <c r="L18" s="6">
        <v>0</v>
      </c>
      <c r="N18" s="21">
        <f t="shared" si="0"/>
        <v>-23.916089094931827</v>
      </c>
    </row>
    <row r="19" spans="2:14" ht="18" customHeight="1" x14ac:dyDescent="0.2">
      <c r="B19" s="15">
        <v>15</v>
      </c>
      <c r="C19" s="64" t="s">
        <v>98</v>
      </c>
      <c r="D19" s="5">
        <v>3217.4</v>
      </c>
      <c r="E19" s="5">
        <v>3507.806</v>
      </c>
      <c r="F19" s="5">
        <v>4740.277</v>
      </c>
      <c r="G19" s="32">
        <v>0.66</v>
      </c>
      <c r="H19" s="32">
        <v>0</v>
      </c>
      <c r="I19" s="32">
        <v>0</v>
      </c>
      <c r="J19" s="33">
        <v>0</v>
      </c>
      <c r="K19" s="33">
        <v>0</v>
      </c>
      <c r="L19" s="6">
        <v>0</v>
      </c>
      <c r="N19" s="21">
        <f t="shared" si="0"/>
        <v>15.705095840533943</v>
      </c>
    </row>
    <row r="20" spans="2:14" ht="18" customHeight="1" x14ac:dyDescent="0.2">
      <c r="B20" s="15">
        <v>16</v>
      </c>
      <c r="C20" s="64" t="s">
        <v>102</v>
      </c>
      <c r="D20" s="5">
        <v>111502.79</v>
      </c>
      <c r="E20" s="5">
        <v>130455.5067</v>
      </c>
      <c r="F20" s="5">
        <v>139950.73499999999</v>
      </c>
      <c r="G20" s="5">
        <v>2772.42</v>
      </c>
      <c r="H20" s="5">
        <v>1792.6489999999999</v>
      </c>
      <c r="I20" s="5">
        <v>1538.1420000000001</v>
      </c>
      <c r="J20" s="20">
        <v>550.41999999999996</v>
      </c>
      <c r="K20" s="20">
        <v>125.178</v>
      </c>
      <c r="L20" s="84">
        <v>150.482</v>
      </c>
      <c r="N20" s="21">
        <f t="shared" si="0"/>
        <v>-12.151481415241793</v>
      </c>
    </row>
    <row r="21" spans="2:14" ht="18" customHeight="1" x14ac:dyDescent="0.2">
      <c r="B21" s="15">
        <v>17</v>
      </c>
      <c r="C21" s="64" t="s">
        <v>5</v>
      </c>
      <c r="D21" s="5">
        <v>131841.13</v>
      </c>
      <c r="E21" s="5">
        <v>145234.802</v>
      </c>
      <c r="F21" s="5">
        <v>167292.1912</v>
      </c>
      <c r="G21" s="5">
        <v>1747.97</v>
      </c>
      <c r="H21" s="5">
        <v>761.76900000000001</v>
      </c>
      <c r="I21" s="5">
        <v>642.38909999999998</v>
      </c>
      <c r="J21" s="20">
        <v>520.34</v>
      </c>
      <c r="K21" s="20">
        <v>190.5</v>
      </c>
      <c r="L21" s="84">
        <v>187.36969999999999</v>
      </c>
      <c r="N21" s="21">
        <f t="shared" si="0"/>
        <v>-4.2426007704406796</v>
      </c>
    </row>
    <row r="22" spans="2:14" ht="18" customHeight="1" x14ac:dyDescent="0.2">
      <c r="B22" s="15">
        <v>18</v>
      </c>
      <c r="C22" s="64" t="s">
        <v>60</v>
      </c>
      <c r="D22" s="5">
        <v>1199.92</v>
      </c>
      <c r="E22" s="5">
        <v>1317.75</v>
      </c>
      <c r="F22" s="5">
        <v>1607.75</v>
      </c>
      <c r="G22" s="32">
        <v>26.5</v>
      </c>
      <c r="H22" s="32">
        <v>9.3699999999999992</v>
      </c>
      <c r="I22" s="32">
        <v>9.3699999999999992</v>
      </c>
      <c r="J22" s="32">
        <v>0</v>
      </c>
      <c r="K22" s="32">
        <v>5.46</v>
      </c>
      <c r="L22" s="84">
        <v>4.3369999999999997</v>
      </c>
      <c r="N22" s="21">
        <f t="shared" si="0"/>
        <v>2.5772092582052721</v>
      </c>
    </row>
    <row r="23" spans="2:14" ht="18" customHeight="1" x14ac:dyDescent="0.2">
      <c r="B23" s="15">
        <v>19</v>
      </c>
      <c r="C23" s="64" t="s">
        <v>99</v>
      </c>
      <c r="D23" s="5">
        <v>6309.38</v>
      </c>
      <c r="E23" s="5">
        <v>8245.92</v>
      </c>
      <c r="F23" s="5">
        <v>12456.66</v>
      </c>
      <c r="G23" s="32">
        <v>0</v>
      </c>
      <c r="H23" s="32">
        <v>0</v>
      </c>
      <c r="I23" s="32">
        <v>0</v>
      </c>
      <c r="J23" s="33">
        <v>0</v>
      </c>
      <c r="K23" s="33">
        <v>0</v>
      </c>
      <c r="L23" s="6">
        <v>0</v>
      </c>
      <c r="N23" s="21">
        <f t="shared" si="0"/>
        <v>31.634526456720415</v>
      </c>
    </row>
    <row r="24" spans="2:14" ht="18" customHeight="1" x14ac:dyDescent="0.2">
      <c r="B24" s="15">
        <v>20</v>
      </c>
      <c r="C24" s="64" t="s">
        <v>66</v>
      </c>
      <c r="D24" s="5">
        <v>8950.23</v>
      </c>
      <c r="E24" s="5">
        <v>8172.433</v>
      </c>
      <c r="F24" s="5">
        <v>9620.1864999999998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6">
        <v>0</v>
      </c>
      <c r="N24" s="21">
        <f t="shared" si="0"/>
        <v>-1.7149144189986032</v>
      </c>
    </row>
    <row r="25" spans="2:14" ht="18" customHeight="1" x14ac:dyDescent="0.2">
      <c r="B25" s="15">
        <v>21</v>
      </c>
      <c r="C25" s="64" t="s">
        <v>39</v>
      </c>
      <c r="D25" s="5">
        <v>360.8</v>
      </c>
      <c r="E25" s="5">
        <v>374.11099999999999</v>
      </c>
      <c r="F25" s="5">
        <v>381.63690000000003</v>
      </c>
      <c r="G25" s="32">
        <v>0</v>
      </c>
      <c r="H25" s="32">
        <v>0</v>
      </c>
      <c r="I25" s="32">
        <v>0</v>
      </c>
      <c r="J25" s="32">
        <v>0</v>
      </c>
      <c r="K25" s="32">
        <v>0</v>
      </c>
      <c r="L25" s="6">
        <v>0</v>
      </c>
      <c r="N25" s="21">
        <f t="shared" si="0"/>
        <v>-17.418324320856634</v>
      </c>
    </row>
    <row r="26" spans="2:14" ht="18" customHeight="1" x14ac:dyDescent="0.2">
      <c r="B26" s="15">
        <v>22</v>
      </c>
      <c r="C26" s="64" t="s">
        <v>85</v>
      </c>
      <c r="D26" s="5">
        <v>293016.05</v>
      </c>
      <c r="E26" s="5">
        <v>296773.05</v>
      </c>
      <c r="F26" s="5">
        <v>378940.73229999997</v>
      </c>
      <c r="G26" s="32">
        <v>523.54</v>
      </c>
      <c r="H26" s="32">
        <v>458.13</v>
      </c>
      <c r="I26" s="32">
        <v>458.94290000000001</v>
      </c>
      <c r="J26" s="32">
        <v>83</v>
      </c>
      <c r="K26" s="32">
        <v>50.3</v>
      </c>
      <c r="L26" s="84">
        <v>38.596200000000003</v>
      </c>
      <c r="N26" s="21">
        <f t="shared" si="0"/>
        <v>8.2570431125737294</v>
      </c>
    </row>
    <row r="27" spans="2:14" ht="18" customHeight="1" x14ac:dyDescent="0.2">
      <c r="B27" s="15">
        <v>23</v>
      </c>
      <c r="C27" s="64" t="s">
        <v>59</v>
      </c>
      <c r="D27" s="5">
        <v>1105.69</v>
      </c>
      <c r="E27" s="5">
        <v>858.15499999999997</v>
      </c>
      <c r="F27" s="5">
        <v>1169.078</v>
      </c>
      <c r="G27" s="32">
        <v>0</v>
      </c>
      <c r="H27" s="32">
        <v>0</v>
      </c>
      <c r="I27" s="32">
        <v>0</v>
      </c>
      <c r="J27" s="33">
        <v>0</v>
      </c>
      <c r="K27" s="33">
        <v>0</v>
      </c>
      <c r="L27" s="6">
        <v>0</v>
      </c>
      <c r="N27" s="21">
        <f t="shared" si="0"/>
        <v>16.801566558488851</v>
      </c>
    </row>
    <row r="28" spans="2:14" ht="18" customHeight="1" x14ac:dyDescent="0.2">
      <c r="B28" s="15">
        <v>24</v>
      </c>
      <c r="C28" s="64" t="s">
        <v>82</v>
      </c>
      <c r="D28" s="5">
        <v>4359.4399999999996</v>
      </c>
      <c r="E28" s="5">
        <v>5709.3329999999996</v>
      </c>
      <c r="F28" s="5">
        <v>5784.1732000000002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6">
        <v>0</v>
      </c>
      <c r="N28" s="21">
        <f t="shared" si="0"/>
        <v>-18.119160362515192</v>
      </c>
    </row>
    <row r="29" spans="2:14" ht="18" customHeight="1" x14ac:dyDescent="0.2">
      <c r="B29" s="15">
        <v>25</v>
      </c>
      <c r="C29" s="64" t="s">
        <v>6</v>
      </c>
      <c r="D29" s="5">
        <v>121602.24000000001</v>
      </c>
      <c r="E29" s="5">
        <v>126875.50599999999</v>
      </c>
      <c r="F29" s="5">
        <v>186602.33429999999</v>
      </c>
      <c r="G29" s="32">
        <v>0</v>
      </c>
      <c r="H29" s="32">
        <v>0</v>
      </c>
      <c r="I29" s="32">
        <v>0</v>
      </c>
      <c r="J29" s="33">
        <v>0</v>
      </c>
      <c r="K29" s="33">
        <v>0</v>
      </c>
      <c r="L29" s="6">
        <v>0</v>
      </c>
      <c r="N29" s="21">
        <f t="shared" si="0"/>
        <v>27.645144906220118</v>
      </c>
    </row>
    <row r="30" spans="2:14" ht="18" customHeight="1" x14ac:dyDescent="0.2">
      <c r="B30" s="15">
        <v>26</v>
      </c>
      <c r="C30" s="64" t="s">
        <v>35</v>
      </c>
      <c r="D30" s="5">
        <v>3721.5</v>
      </c>
      <c r="E30" s="5">
        <v>1480.421</v>
      </c>
      <c r="F30" s="5">
        <v>2626.9429</v>
      </c>
      <c r="G30" s="32">
        <v>0</v>
      </c>
      <c r="H30" s="32">
        <v>0</v>
      </c>
      <c r="I30" s="32">
        <v>0</v>
      </c>
      <c r="J30" s="33">
        <v>0</v>
      </c>
      <c r="K30" s="33">
        <v>0</v>
      </c>
      <c r="L30" s="6">
        <v>0</v>
      </c>
      <c r="N30" s="21">
        <f t="shared" si="0"/>
        <v>58.015665793716785</v>
      </c>
    </row>
    <row r="31" spans="2:14" ht="18" customHeight="1" x14ac:dyDescent="0.2">
      <c r="B31" s="15">
        <v>27</v>
      </c>
      <c r="C31" s="64" t="s">
        <v>62</v>
      </c>
      <c r="D31" s="5">
        <v>3971.96</v>
      </c>
      <c r="E31" s="5">
        <v>3786.6950000000002</v>
      </c>
      <c r="F31" s="5">
        <v>5204.7286999999997</v>
      </c>
      <c r="G31" s="32">
        <v>40</v>
      </c>
      <c r="H31" s="32">
        <v>40</v>
      </c>
      <c r="I31" s="32">
        <v>0</v>
      </c>
      <c r="J31" s="32">
        <v>0</v>
      </c>
      <c r="K31" s="32">
        <v>0</v>
      </c>
      <c r="L31" s="6">
        <v>0</v>
      </c>
      <c r="N31" s="21">
        <f t="shared" si="0"/>
        <v>18.017792864225918</v>
      </c>
    </row>
    <row r="32" spans="2:14" ht="18" customHeight="1" x14ac:dyDescent="0.2">
      <c r="B32" s="15">
        <v>28</v>
      </c>
      <c r="C32" s="64" t="s">
        <v>78</v>
      </c>
      <c r="D32" s="20">
        <v>2534.75</v>
      </c>
      <c r="E32" s="20">
        <v>3066.6669999999999</v>
      </c>
      <c r="F32" s="20">
        <v>3602.8620999999998</v>
      </c>
      <c r="G32" s="13">
        <v>0</v>
      </c>
      <c r="H32" s="13">
        <v>0</v>
      </c>
      <c r="I32" s="13">
        <v>0</v>
      </c>
      <c r="J32" s="32">
        <v>0</v>
      </c>
      <c r="K32" s="32">
        <v>0</v>
      </c>
      <c r="L32" s="6">
        <v>0</v>
      </c>
      <c r="N32" s="21">
        <f t="shared" si="0"/>
        <v>-1.945379074415321</v>
      </c>
    </row>
    <row r="33" spans="2:14" ht="18" customHeight="1" x14ac:dyDescent="0.2">
      <c r="B33" s="15">
        <v>29</v>
      </c>
      <c r="C33" s="64" t="s">
        <v>49</v>
      </c>
      <c r="D33" s="5">
        <v>61.45</v>
      </c>
      <c r="E33" s="5" t="s">
        <v>105</v>
      </c>
      <c r="F33" s="5" t="s">
        <v>105</v>
      </c>
      <c r="G33" s="32">
        <v>0</v>
      </c>
      <c r="H33" s="32" t="s">
        <v>105</v>
      </c>
      <c r="I33" s="32" t="s">
        <v>105</v>
      </c>
      <c r="J33" s="33">
        <v>0</v>
      </c>
      <c r="K33" s="33" t="s">
        <v>105</v>
      </c>
      <c r="L33" s="6" t="s">
        <v>105</v>
      </c>
      <c r="N33" s="21" t="e">
        <f t="shared" si="0"/>
        <v>#VALUE!</v>
      </c>
    </row>
    <row r="34" spans="2:14" ht="18" customHeight="1" x14ac:dyDescent="0.2">
      <c r="B34" s="15">
        <v>30</v>
      </c>
      <c r="C34" s="64" t="s">
        <v>7</v>
      </c>
      <c r="D34" s="5">
        <v>1476.21</v>
      </c>
      <c r="E34" s="5">
        <v>1556.48</v>
      </c>
      <c r="F34" s="5">
        <v>3148.9396000000002</v>
      </c>
      <c r="G34" s="32">
        <v>0</v>
      </c>
      <c r="H34" s="32">
        <v>0</v>
      </c>
      <c r="I34" s="32">
        <v>0</v>
      </c>
      <c r="J34" s="33">
        <v>0</v>
      </c>
      <c r="K34" s="33">
        <v>0</v>
      </c>
      <c r="L34" s="6">
        <v>0</v>
      </c>
      <c r="N34" s="21">
        <f t="shared" si="0"/>
        <v>82.881600534539473</v>
      </c>
    </row>
    <row r="35" spans="2:14" ht="18" customHeight="1" x14ac:dyDescent="0.2">
      <c r="B35" s="15">
        <v>31</v>
      </c>
      <c r="C35" s="64" t="s">
        <v>54</v>
      </c>
      <c r="D35" s="5">
        <v>27984.21</v>
      </c>
      <c r="E35" s="5">
        <v>36445.5</v>
      </c>
      <c r="F35" s="5">
        <v>50670.726369999997</v>
      </c>
      <c r="G35" s="5">
        <v>6.34</v>
      </c>
      <c r="H35" s="5">
        <v>6.34</v>
      </c>
      <c r="I35" s="5">
        <v>0</v>
      </c>
      <c r="J35" s="33">
        <v>0</v>
      </c>
      <c r="K35" s="33">
        <v>0</v>
      </c>
      <c r="L35" s="6">
        <v>0</v>
      </c>
      <c r="N35" s="21">
        <f t="shared" si="0"/>
        <v>19.601502846716322</v>
      </c>
    </row>
    <row r="36" spans="2:14" ht="18" customHeight="1" x14ac:dyDescent="0.2">
      <c r="B36" s="15">
        <v>32</v>
      </c>
      <c r="C36" s="64" t="s">
        <v>96</v>
      </c>
      <c r="D36" s="5">
        <v>37040.97</v>
      </c>
      <c r="E36" s="5">
        <v>41292.913399999998</v>
      </c>
      <c r="F36" s="5">
        <v>45326.588000000003</v>
      </c>
      <c r="G36" s="32">
        <v>0</v>
      </c>
      <c r="H36" s="32">
        <v>0</v>
      </c>
      <c r="I36" s="32">
        <v>0</v>
      </c>
      <c r="J36" s="33">
        <v>0</v>
      </c>
      <c r="K36" s="33">
        <v>0</v>
      </c>
      <c r="L36" s="6">
        <v>0</v>
      </c>
      <c r="N36" s="21">
        <f t="shared" si="0"/>
        <v>-9.6615572628014039</v>
      </c>
    </row>
    <row r="37" spans="2:14" ht="18" customHeight="1" x14ac:dyDescent="0.2">
      <c r="B37" s="15">
        <v>33</v>
      </c>
      <c r="C37" s="64" t="s">
        <v>83</v>
      </c>
      <c r="D37" s="5">
        <v>4853.03</v>
      </c>
      <c r="E37" s="5">
        <v>4717.26</v>
      </c>
      <c r="F37" s="5">
        <v>4619.5079999999998</v>
      </c>
      <c r="G37" s="32">
        <v>0</v>
      </c>
      <c r="H37" s="32">
        <v>0</v>
      </c>
      <c r="I37" s="32">
        <v>0</v>
      </c>
      <c r="J37" s="33">
        <v>0</v>
      </c>
      <c r="K37" s="33">
        <v>0</v>
      </c>
      <c r="L37" s="6">
        <v>0</v>
      </c>
      <c r="N37" s="21">
        <f t="shared" si="0"/>
        <v>-21.502219890360088</v>
      </c>
    </row>
    <row r="38" spans="2:14" ht="18" customHeight="1" x14ac:dyDescent="0.2">
      <c r="B38" s="15">
        <v>34</v>
      </c>
      <c r="C38" s="64" t="s">
        <v>114</v>
      </c>
      <c r="D38" s="5" t="s">
        <v>105</v>
      </c>
      <c r="E38" s="5">
        <v>329.72370000000001</v>
      </c>
      <c r="F38" s="5">
        <v>342.83789999999999</v>
      </c>
      <c r="G38" s="32" t="s">
        <v>105</v>
      </c>
      <c r="H38" s="32">
        <v>0</v>
      </c>
      <c r="I38" s="32">
        <v>0</v>
      </c>
      <c r="J38" s="33" t="s">
        <v>105</v>
      </c>
      <c r="K38" s="33">
        <v>0</v>
      </c>
      <c r="L38" s="6">
        <v>0</v>
      </c>
      <c r="N38" s="21">
        <f t="shared" si="0"/>
        <v>-15.452669889971517</v>
      </c>
    </row>
    <row r="39" spans="2:14" ht="18" customHeight="1" x14ac:dyDescent="0.2">
      <c r="B39" s="15">
        <v>35</v>
      </c>
      <c r="C39" s="64" t="s">
        <v>61</v>
      </c>
      <c r="D39" s="5">
        <v>297.42</v>
      </c>
      <c r="E39" s="5">
        <v>386.02</v>
      </c>
      <c r="F39" s="5">
        <v>477.42099999999999</v>
      </c>
      <c r="G39" s="32">
        <v>0</v>
      </c>
      <c r="H39" s="32">
        <v>0</v>
      </c>
      <c r="I39" s="32">
        <v>0</v>
      </c>
      <c r="J39" s="33">
        <v>0</v>
      </c>
      <c r="K39" s="33">
        <v>0</v>
      </c>
      <c r="L39" s="6">
        <v>0</v>
      </c>
      <c r="N39" s="21">
        <f t="shared" si="0"/>
        <v>4.2477887156105929</v>
      </c>
    </row>
    <row r="40" spans="2:14" ht="18" customHeight="1" x14ac:dyDescent="0.2">
      <c r="B40" s="15">
        <v>36</v>
      </c>
      <c r="C40" s="64" t="s">
        <v>68</v>
      </c>
      <c r="D40" s="5">
        <v>1169.01</v>
      </c>
      <c r="E40" s="5">
        <v>1636.71</v>
      </c>
      <c r="F40" s="5">
        <v>2276.491</v>
      </c>
      <c r="G40" s="32">
        <v>52.23</v>
      </c>
      <c r="H40" s="32">
        <v>0</v>
      </c>
      <c r="I40" s="32">
        <v>0</v>
      </c>
      <c r="J40" s="32">
        <v>0</v>
      </c>
      <c r="K40" s="32">
        <v>0</v>
      </c>
      <c r="L40" s="6">
        <v>0</v>
      </c>
      <c r="N40" s="21">
        <f t="shared" si="0"/>
        <v>19.659453843380923</v>
      </c>
    </row>
    <row r="41" spans="2:14" ht="18" customHeight="1" x14ac:dyDescent="0.2">
      <c r="B41" s="15">
        <v>37</v>
      </c>
      <c r="C41" s="64" t="s">
        <v>44</v>
      </c>
      <c r="D41" s="5">
        <v>9882.7000000000007</v>
      </c>
      <c r="E41" s="5">
        <v>5633.0483999999997</v>
      </c>
      <c r="F41" s="20" t="s">
        <v>124</v>
      </c>
      <c r="G41" s="32">
        <v>21.87</v>
      </c>
      <c r="H41" s="32">
        <v>21.87</v>
      </c>
      <c r="I41" s="20" t="s">
        <v>124</v>
      </c>
      <c r="J41" s="32">
        <v>0</v>
      </c>
      <c r="K41" s="32">
        <v>0</v>
      </c>
      <c r="L41" s="20" t="s">
        <v>124</v>
      </c>
      <c r="N41" s="21" t="e">
        <f t="shared" si="0"/>
        <v>#VALUE!</v>
      </c>
    </row>
    <row r="42" spans="2:14" ht="18" customHeight="1" x14ac:dyDescent="0.2">
      <c r="B42" s="15">
        <v>38</v>
      </c>
      <c r="C42" s="64" t="s">
        <v>73</v>
      </c>
      <c r="D42" s="5">
        <v>10125.26</v>
      </c>
      <c r="E42" s="5">
        <v>8945.8799999999992</v>
      </c>
      <c r="F42" s="5">
        <v>9583.2469999999994</v>
      </c>
      <c r="G42" s="13">
        <v>97.48</v>
      </c>
      <c r="H42" s="13">
        <v>123.63</v>
      </c>
      <c r="I42" s="13">
        <v>162.91999999999999</v>
      </c>
      <c r="J42" s="32">
        <v>16.59</v>
      </c>
      <c r="K42" s="32">
        <v>28.66</v>
      </c>
      <c r="L42" s="84">
        <v>45.94</v>
      </c>
      <c r="N42" s="21">
        <f t="shared" si="0"/>
        <v>-12.305301255997172</v>
      </c>
    </row>
    <row r="43" spans="2:14" ht="18" customHeight="1" x14ac:dyDescent="0.2">
      <c r="B43" s="15">
        <v>39</v>
      </c>
      <c r="C43" s="64" t="s">
        <v>50</v>
      </c>
      <c r="D43" s="5">
        <v>11115</v>
      </c>
      <c r="E43" s="5">
        <v>13239.963900000001</v>
      </c>
      <c r="F43" s="5">
        <v>16013.9755</v>
      </c>
      <c r="G43" s="32">
        <v>156.22999999999999</v>
      </c>
      <c r="H43" s="32">
        <v>20.86</v>
      </c>
      <c r="I43" s="32">
        <v>25.8</v>
      </c>
      <c r="J43" s="32">
        <v>10.91</v>
      </c>
      <c r="K43" s="32">
        <v>6.44</v>
      </c>
      <c r="L43" s="84">
        <v>16.34</v>
      </c>
      <c r="N43" s="21">
        <f t="shared" si="0"/>
        <v>1.5218063716170676</v>
      </c>
    </row>
    <row r="44" spans="2:14" ht="18" customHeight="1" x14ac:dyDescent="0.2">
      <c r="B44" s="15">
        <v>40</v>
      </c>
      <c r="C44" s="64" t="s">
        <v>8</v>
      </c>
      <c r="D44" s="5">
        <v>11627.73</v>
      </c>
      <c r="E44" s="5">
        <v>10074.197</v>
      </c>
      <c r="F44" s="5">
        <v>9981.0563999999995</v>
      </c>
      <c r="G44" s="32">
        <v>78.91</v>
      </c>
      <c r="H44" s="32">
        <v>5.6369999999999996</v>
      </c>
      <c r="I44" s="32">
        <v>3.9422000000000001</v>
      </c>
      <c r="J44" s="33">
        <v>0</v>
      </c>
      <c r="K44" s="33">
        <v>0</v>
      </c>
      <c r="L44" s="6">
        <v>0</v>
      </c>
      <c r="N44" s="21">
        <f t="shared" si="0"/>
        <v>-20.354546144968186</v>
      </c>
    </row>
    <row r="45" spans="2:14" ht="18" customHeight="1" x14ac:dyDescent="0.2">
      <c r="B45" s="15">
        <v>41</v>
      </c>
      <c r="C45" s="64" t="s">
        <v>51</v>
      </c>
      <c r="D45" s="5">
        <v>183.01</v>
      </c>
      <c r="E45" s="5">
        <v>288.548</v>
      </c>
      <c r="F45" s="5">
        <v>352.97109999999998</v>
      </c>
      <c r="G45" s="32">
        <v>4.2300000000000004</v>
      </c>
      <c r="H45" s="32">
        <v>4.49</v>
      </c>
      <c r="I45" s="32">
        <v>5.63</v>
      </c>
      <c r="J45" s="32">
        <v>0</v>
      </c>
      <c r="K45" s="32">
        <v>0.2</v>
      </c>
      <c r="L45" s="84">
        <v>0.68630000000000002</v>
      </c>
      <c r="N45" s="21">
        <f t="shared" si="0"/>
        <v>2.8966492923187737</v>
      </c>
    </row>
    <row r="46" spans="2:14" ht="18" customHeight="1" x14ac:dyDescent="0.2">
      <c r="B46" s="15">
        <v>42</v>
      </c>
      <c r="C46" s="64" t="s">
        <v>9</v>
      </c>
      <c r="D46" s="5">
        <v>228486.27</v>
      </c>
      <c r="E46" s="5">
        <v>237130.1</v>
      </c>
      <c r="F46" s="5">
        <v>258908.5018</v>
      </c>
      <c r="G46" s="5">
        <v>3232.79</v>
      </c>
      <c r="H46" s="5">
        <v>2674.37</v>
      </c>
      <c r="I46" s="5">
        <v>2016.5311999999999</v>
      </c>
      <c r="J46" s="32">
        <v>375.18</v>
      </c>
      <c r="K46" s="32">
        <v>301.88</v>
      </c>
      <c r="L46" s="84">
        <v>285.56900000000002</v>
      </c>
      <c r="N46" s="21">
        <f t="shared" si="0"/>
        <v>-10.245842526950399</v>
      </c>
    </row>
    <row r="47" spans="2:14" ht="18" customHeight="1" x14ac:dyDescent="0.2">
      <c r="B47" s="15">
        <v>43</v>
      </c>
      <c r="C47" s="64" t="s">
        <v>84</v>
      </c>
      <c r="D47" s="5">
        <v>34946.51</v>
      </c>
      <c r="E47" s="5">
        <v>46245.300999999999</v>
      </c>
      <c r="F47" s="5">
        <v>48166.427799999998</v>
      </c>
      <c r="G47" s="20">
        <v>0</v>
      </c>
      <c r="H47" s="20">
        <v>0</v>
      </c>
      <c r="I47" s="20">
        <v>0</v>
      </c>
      <c r="J47" s="33">
        <v>0</v>
      </c>
      <c r="K47" s="33">
        <v>0</v>
      </c>
      <c r="L47" s="6">
        <v>0</v>
      </c>
      <c r="N47" s="21">
        <f t="shared" si="0"/>
        <v>-15.2757902566144</v>
      </c>
    </row>
    <row r="48" spans="2:14" ht="18" customHeight="1" x14ac:dyDescent="0.2">
      <c r="B48" s="15">
        <v>44</v>
      </c>
      <c r="C48" s="64" t="s">
        <v>40</v>
      </c>
      <c r="D48" s="5">
        <v>1594.86</v>
      </c>
      <c r="E48" s="5">
        <v>1943.32</v>
      </c>
      <c r="F48" s="5">
        <v>1298.3656000000001</v>
      </c>
      <c r="G48" s="32">
        <v>55</v>
      </c>
      <c r="H48" s="32">
        <v>0</v>
      </c>
      <c r="I48" s="32">
        <v>0</v>
      </c>
      <c r="J48" s="33">
        <v>0</v>
      </c>
      <c r="K48" s="33">
        <v>0</v>
      </c>
      <c r="L48" s="6">
        <v>0</v>
      </c>
      <c r="N48" s="21">
        <f t="shared" si="0"/>
        <v>-52.618275734310345</v>
      </c>
    </row>
    <row r="49" spans="2:14" ht="18" customHeight="1" thickBot="1" x14ac:dyDescent="0.25">
      <c r="B49" s="67">
        <v>45</v>
      </c>
      <c r="C49" s="68" t="s">
        <v>52</v>
      </c>
      <c r="D49" s="18">
        <v>4459.34</v>
      </c>
      <c r="E49" s="18">
        <v>5749.3575000000001</v>
      </c>
      <c r="F49" s="18">
        <v>5108.4396999999999</v>
      </c>
      <c r="G49" s="34">
        <v>7.6</v>
      </c>
      <c r="H49" s="34">
        <v>65.77</v>
      </c>
      <c r="I49" s="34">
        <v>0</v>
      </c>
      <c r="J49" s="34">
        <v>6.46</v>
      </c>
      <c r="K49" s="34">
        <v>49.33</v>
      </c>
      <c r="L49" s="60">
        <v>0</v>
      </c>
      <c r="N49" s="21">
        <f t="shared" si="0"/>
        <v>-30.577642149579326</v>
      </c>
    </row>
    <row r="50" spans="2:14" ht="18" customHeight="1" thickBot="1" x14ac:dyDescent="0.25">
      <c r="B50" s="131" t="s">
        <v>37</v>
      </c>
      <c r="C50" s="132"/>
      <c r="D50" s="7">
        <f>SUM(D5:D49)</f>
        <v>1567703.9889999998</v>
      </c>
      <c r="E50" s="7">
        <f t="shared" ref="E50:L50" si="1">SUM(E5:E49)</f>
        <v>1705694.2150000001</v>
      </c>
      <c r="F50" s="7">
        <f t="shared" si="1"/>
        <v>2037082.6291699994</v>
      </c>
      <c r="G50" s="7">
        <f t="shared" si="1"/>
        <v>9525.1999999999989</v>
      </c>
      <c r="H50" s="7">
        <f t="shared" si="1"/>
        <v>6512.6803</v>
      </c>
      <c r="I50" s="7">
        <f t="shared" si="1"/>
        <v>5307.5108</v>
      </c>
      <c r="J50" s="7">
        <f t="shared" si="1"/>
        <v>1671.7500000000002</v>
      </c>
      <c r="K50" s="7">
        <f t="shared" si="1"/>
        <v>811.63800000000003</v>
      </c>
      <c r="L50" s="96">
        <f t="shared" si="1"/>
        <v>775.92020000000002</v>
      </c>
      <c r="N50" s="21">
        <f t="shared" si="0"/>
        <v>-1.6399073324357971E-3</v>
      </c>
    </row>
    <row r="51" spans="2:14" ht="18" customHeight="1" x14ac:dyDescent="0.2">
      <c r="B51" s="25"/>
      <c r="C51" s="25"/>
      <c r="D51" s="8"/>
      <c r="E51" s="8"/>
      <c r="F51" s="8"/>
      <c r="G51" s="8"/>
      <c r="H51" s="8"/>
      <c r="I51" s="8"/>
      <c r="J51" s="8"/>
      <c r="K51" s="8"/>
      <c r="L51" s="8"/>
    </row>
    <row r="52" spans="2:14" hidden="1" x14ac:dyDescent="0.2">
      <c r="C52" s="35"/>
      <c r="E52" s="21">
        <f>SUM(E50-D50)/D50*100</f>
        <v>8.8020587412054017</v>
      </c>
      <c r="F52" s="21">
        <f>SUM(F50-E50)/E50*100</f>
        <v>19.428360092667564</v>
      </c>
      <c r="H52" s="63">
        <f>SUM(H50-G50)/G50*100</f>
        <v>-31.626839331457603</v>
      </c>
      <c r="I52" s="63">
        <f>SUM(I50-H50)/H50*100</f>
        <v>-18.504969451671073</v>
      </c>
      <c r="K52" s="63">
        <f>SUM(K50-J50)/J50*100</f>
        <v>-51.449798115746979</v>
      </c>
      <c r="L52" s="63">
        <f>SUM(L50-K50)/K50*100</f>
        <v>-4.4007057333441768</v>
      </c>
    </row>
    <row r="53" spans="2:14" s="17" customFormat="1" ht="15.6" customHeight="1" x14ac:dyDescent="0.2">
      <c r="B53" s="138" t="s">
        <v>103</v>
      </c>
      <c r="C53" s="138"/>
      <c r="D53" s="138"/>
      <c r="E53" s="138"/>
      <c r="F53" s="138"/>
      <c r="G53" s="138"/>
      <c r="H53" s="138"/>
      <c r="I53" s="138"/>
      <c r="J53" s="138"/>
      <c r="K53" s="138"/>
      <c r="L53" s="138"/>
    </row>
    <row r="55" spans="2:14" hidden="1" x14ac:dyDescent="0.2">
      <c r="D55" s="21" t="e">
        <f>(D50-#REF!)/#REF!*100</f>
        <v>#REF!</v>
      </c>
      <c r="E55" s="21">
        <f>(E50-D50)/D50*100</f>
        <v>8.8020587412054017</v>
      </c>
      <c r="F55" s="21"/>
      <c r="G55" s="21" t="e">
        <f>(G50-#REF!)/#REF!*100</f>
        <v>#REF!</v>
      </c>
      <c r="H55" s="21">
        <f>(H50-G50)/G50*100</f>
        <v>-31.626839331457603</v>
      </c>
      <c r="I55" s="21"/>
      <c r="J55" s="21" t="e">
        <f>(J50-#REF!)/#REF!*100</f>
        <v>#REF!</v>
      </c>
      <c r="K55" s="21">
        <f>(K50-J50)/J50*100</f>
        <v>-51.449798115746979</v>
      </c>
    </row>
    <row r="56" spans="2:14" x14ac:dyDescent="0.2">
      <c r="B56" s="140">
        <v>2</v>
      </c>
      <c r="C56" s="140"/>
      <c r="D56" s="140"/>
      <c r="E56" s="140"/>
      <c r="F56" s="140"/>
      <c r="G56" s="140"/>
      <c r="H56" s="140"/>
      <c r="I56" s="140"/>
      <c r="J56" s="140"/>
      <c r="K56" s="140"/>
      <c r="L56" s="140"/>
    </row>
  </sheetData>
  <sortState xmlns:xlrd2="http://schemas.microsoft.com/office/spreadsheetml/2017/richdata2" ref="B5:E50">
    <sortCondition ref="C5:C50"/>
  </sortState>
  <mergeCells count="10">
    <mergeCell ref="B56:L56"/>
    <mergeCell ref="B1:L1"/>
    <mergeCell ref="B2:K2"/>
    <mergeCell ref="B3:B4"/>
    <mergeCell ref="C3:C4"/>
    <mergeCell ref="D3:F3"/>
    <mergeCell ref="B50:C50"/>
    <mergeCell ref="J3:L3"/>
    <mergeCell ref="G3:I3"/>
    <mergeCell ref="B53:L53"/>
  </mergeCells>
  <phoneticPr fontId="0" type="noConversion"/>
  <printOptions horizontalCentered="1" verticalCentered="1"/>
  <pageMargins left="0.25" right="0.25" top="0.75" bottom="0.75" header="0.3" footer="0.3"/>
  <pageSetup paperSize="9" scale="7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N54"/>
  <sheetViews>
    <sheetView view="pageBreakPreview" zoomScaleNormal="100" zoomScaleSheetLayoutView="100" workbookViewId="0">
      <pane ySplit="4" topLeftCell="A35" activePane="bottomLeft" state="frozen"/>
      <selection pane="bottomLeft" activeCell="L41" sqref="L41"/>
    </sheetView>
  </sheetViews>
  <sheetFormatPr defaultColWidth="8.7109375" defaultRowHeight="15.75" x14ac:dyDescent="0.2"/>
  <cols>
    <col min="1" max="1" width="8.7109375" style="1"/>
    <col min="2" max="2" width="7" style="3" customWidth="1"/>
    <col min="3" max="3" width="45.140625" style="1" customWidth="1"/>
    <col min="4" max="9" width="10.140625" style="21" customWidth="1"/>
    <col min="10" max="10" width="10.140625" style="1" customWidth="1"/>
    <col min="11" max="11" width="10.140625" style="26" customWidth="1"/>
    <col min="12" max="12" width="10.85546875" style="1" customWidth="1"/>
    <col min="13" max="13" width="8.7109375" style="1"/>
    <col min="14" max="14" width="0" style="1" hidden="1" customWidth="1"/>
    <col min="15" max="16384" width="8.7109375" style="1"/>
  </cols>
  <sheetData>
    <row r="1" spans="2:14" ht="21.75" customHeight="1" x14ac:dyDescent="0.2">
      <c r="B1" s="124" t="s">
        <v>26</v>
      </c>
      <c r="C1" s="125"/>
      <c r="D1" s="125"/>
      <c r="E1" s="125"/>
      <c r="F1" s="125"/>
      <c r="G1" s="125"/>
      <c r="H1" s="125"/>
      <c r="I1" s="125"/>
      <c r="J1" s="125"/>
      <c r="K1" s="125"/>
      <c r="L1" s="126"/>
    </row>
    <row r="2" spans="2:14" ht="18.75" customHeight="1" x14ac:dyDescent="0.2">
      <c r="B2" s="127" t="s">
        <v>24</v>
      </c>
      <c r="C2" s="128"/>
      <c r="D2" s="128"/>
      <c r="E2" s="128"/>
      <c r="F2" s="128"/>
      <c r="G2" s="128"/>
      <c r="H2" s="128"/>
      <c r="I2" s="128"/>
      <c r="J2" s="128"/>
      <c r="K2" s="128"/>
      <c r="L2" s="102" t="s">
        <v>46</v>
      </c>
    </row>
    <row r="3" spans="2:14" ht="33.6" customHeight="1" x14ac:dyDescent="0.2">
      <c r="B3" s="136" t="s">
        <v>58</v>
      </c>
      <c r="C3" s="134" t="s">
        <v>10</v>
      </c>
      <c r="D3" s="134" t="s">
        <v>14</v>
      </c>
      <c r="E3" s="134"/>
      <c r="F3" s="134"/>
      <c r="G3" s="142" t="s">
        <v>113</v>
      </c>
      <c r="H3" s="142"/>
      <c r="I3" s="142"/>
      <c r="J3" s="142" t="s">
        <v>13</v>
      </c>
      <c r="K3" s="142"/>
      <c r="L3" s="143"/>
    </row>
    <row r="4" spans="2:14" ht="20.45" customHeight="1" thickBot="1" x14ac:dyDescent="0.25">
      <c r="B4" s="137"/>
      <c r="C4" s="135"/>
      <c r="D4" s="100">
        <v>2023</v>
      </c>
      <c r="E4" s="100">
        <v>2024</v>
      </c>
      <c r="F4" s="100">
        <v>2025</v>
      </c>
      <c r="G4" s="100">
        <v>2023</v>
      </c>
      <c r="H4" s="100">
        <v>2024</v>
      </c>
      <c r="I4" s="100">
        <v>2025</v>
      </c>
      <c r="J4" s="100">
        <v>2023</v>
      </c>
      <c r="K4" s="104">
        <v>2024</v>
      </c>
      <c r="L4" s="105">
        <v>2025</v>
      </c>
    </row>
    <row r="5" spans="2:14" ht="18.75" customHeight="1" x14ac:dyDescent="0.2">
      <c r="B5" s="16">
        <v>1</v>
      </c>
      <c r="C5" s="65" t="s">
        <v>48</v>
      </c>
      <c r="D5" s="28">
        <v>8.6999999999999993</v>
      </c>
      <c r="E5" s="28">
        <v>14.9429</v>
      </c>
      <c r="F5" s="28">
        <v>23.5</v>
      </c>
      <c r="G5" s="27">
        <v>27.28</v>
      </c>
      <c r="H5" s="27">
        <v>28.458600000000001</v>
      </c>
      <c r="I5" s="27">
        <v>33.1</v>
      </c>
      <c r="J5" s="27">
        <f>G5+D5</f>
        <v>35.980000000000004</v>
      </c>
      <c r="K5" s="27">
        <f>H5+E5</f>
        <v>43.401499999999999</v>
      </c>
      <c r="L5" s="97">
        <f>I5+F5</f>
        <v>56.6</v>
      </c>
      <c r="N5" s="21">
        <f>(L5-K5)/K5*100-12.3</f>
        <v>18.110239277444332</v>
      </c>
    </row>
    <row r="6" spans="2:14" ht="18.75" customHeight="1" x14ac:dyDescent="0.2">
      <c r="B6" s="15">
        <v>2</v>
      </c>
      <c r="C6" s="64" t="s">
        <v>34</v>
      </c>
      <c r="D6" s="5">
        <v>602.65</v>
      </c>
      <c r="E6" s="5">
        <v>665.83299999999997</v>
      </c>
      <c r="F6" s="5">
        <v>752.96839999999997</v>
      </c>
      <c r="G6" s="5">
        <v>1259.3900000000001</v>
      </c>
      <c r="H6" s="5">
        <v>1541.6020000000001</v>
      </c>
      <c r="I6" s="5">
        <v>1917.0689</v>
      </c>
      <c r="J6" s="20">
        <f t="shared" ref="J6:L7" si="0">D6+G6</f>
        <v>1862.04</v>
      </c>
      <c r="K6" s="20">
        <f t="shared" si="0"/>
        <v>2207.4349999999999</v>
      </c>
      <c r="L6" s="86">
        <f t="shared" si="0"/>
        <v>2670.0373</v>
      </c>
      <c r="N6" s="21">
        <f t="shared" ref="N6:N50" si="1">(L6-K6)/K6*100-12.3</f>
        <v>8.6565536471062572</v>
      </c>
    </row>
    <row r="7" spans="2:14" ht="17.45" customHeight="1" x14ac:dyDescent="0.2">
      <c r="B7" s="15">
        <v>3</v>
      </c>
      <c r="C7" s="64" t="s">
        <v>80</v>
      </c>
      <c r="D7" s="5">
        <v>652.20000000000005</v>
      </c>
      <c r="E7" s="5">
        <v>1243.1969999999999</v>
      </c>
      <c r="F7" s="5">
        <v>1879.9122</v>
      </c>
      <c r="G7" s="37">
        <v>-32.15</v>
      </c>
      <c r="H7" s="37">
        <v>-72.936999999999998</v>
      </c>
      <c r="I7" s="37">
        <v>176.19059999999999</v>
      </c>
      <c r="J7" s="20">
        <f t="shared" si="0"/>
        <v>620.05000000000007</v>
      </c>
      <c r="K7" s="20">
        <f t="shared" si="0"/>
        <v>1170.26</v>
      </c>
      <c r="L7" s="86">
        <f t="shared" si="0"/>
        <v>2056.1028000000001</v>
      </c>
      <c r="N7" s="21">
        <f t="shared" si="1"/>
        <v>63.396238442739232</v>
      </c>
    </row>
    <row r="8" spans="2:14" ht="18.75" customHeight="1" x14ac:dyDescent="0.2">
      <c r="B8" s="15">
        <v>4</v>
      </c>
      <c r="C8" s="64" t="s">
        <v>0</v>
      </c>
      <c r="D8" s="5">
        <v>3729.15</v>
      </c>
      <c r="E8" s="5">
        <v>5616.6710000000003</v>
      </c>
      <c r="F8" s="5">
        <v>6926.3964999999998</v>
      </c>
      <c r="G8" s="5">
        <v>278.37</v>
      </c>
      <c r="H8" s="5">
        <v>743.43600000000004</v>
      </c>
      <c r="I8" s="5">
        <v>1263.2456999999999</v>
      </c>
      <c r="J8" s="20">
        <f>G8+D8</f>
        <v>4007.52</v>
      </c>
      <c r="K8" s="20">
        <f>H8+E8</f>
        <v>6360.107</v>
      </c>
      <c r="L8" s="86">
        <f>I8+F8</f>
        <v>8189.6422000000002</v>
      </c>
      <c r="N8" s="21">
        <f t="shared" si="1"/>
        <v>16.465792776756746</v>
      </c>
    </row>
    <row r="9" spans="2:14" ht="18.75" customHeight="1" x14ac:dyDescent="0.2">
      <c r="B9" s="15">
        <v>5</v>
      </c>
      <c r="C9" s="64" t="s">
        <v>1</v>
      </c>
      <c r="D9" s="5">
        <v>145.86000000000001</v>
      </c>
      <c r="E9" s="5">
        <v>166.94800000000001</v>
      </c>
      <c r="F9" s="5">
        <v>168.29900000000001</v>
      </c>
      <c r="G9" s="20">
        <v>19.190000000000001</v>
      </c>
      <c r="H9" s="20">
        <v>30.501999999999999</v>
      </c>
      <c r="I9" s="20">
        <v>14.9678</v>
      </c>
      <c r="J9" s="20">
        <f t="shared" ref="J9:L11" si="2">D9+G9</f>
        <v>165.05</v>
      </c>
      <c r="K9" s="20">
        <f t="shared" si="2"/>
        <v>197.45000000000002</v>
      </c>
      <c r="L9" s="86">
        <f t="shared" si="2"/>
        <v>183.26680000000002</v>
      </c>
      <c r="N9" s="21">
        <f t="shared" si="1"/>
        <v>-19.483185616611799</v>
      </c>
    </row>
    <row r="10" spans="2:14" ht="18.75" customHeight="1" x14ac:dyDescent="0.2">
      <c r="B10" s="15">
        <v>6</v>
      </c>
      <c r="C10" s="64" t="s">
        <v>2</v>
      </c>
      <c r="D10" s="20">
        <v>40.929000000000002</v>
      </c>
      <c r="E10" s="20">
        <v>45.085000000000001</v>
      </c>
      <c r="F10" s="20">
        <v>46.05</v>
      </c>
      <c r="G10" s="20">
        <v>5.35</v>
      </c>
      <c r="H10" s="20">
        <v>3.76</v>
      </c>
      <c r="I10" s="20">
        <v>4.0285000000000002</v>
      </c>
      <c r="J10" s="20">
        <f t="shared" si="2"/>
        <v>46.279000000000003</v>
      </c>
      <c r="K10" s="20">
        <f t="shared" si="2"/>
        <v>48.844999999999999</v>
      </c>
      <c r="L10" s="86">
        <f t="shared" si="2"/>
        <v>50.078499999999998</v>
      </c>
      <c r="N10" s="21">
        <f t="shared" si="1"/>
        <v>-9.7746647558603765</v>
      </c>
    </row>
    <row r="11" spans="2:14" ht="18.75" customHeight="1" x14ac:dyDescent="0.2">
      <c r="B11" s="15">
        <v>7</v>
      </c>
      <c r="C11" s="64" t="s">
        <v>77</v>
      </c>
      <c r="D11" s="20">
        <v>19.666</v>
      </c>
      <c r="E11" s="20">
        <v>26.420999999999999</v>
      </c>
      <c r="F11" s="20">
        <v>27.072099999999999</v>
      </c>
      <c r="G11" s="20">
        <v>35.590000000000003</v>
      </c>
      <c r="H11" s="20">
        <v>21.213000000000001</v>
      </c>
      <c r="I11" s="20">
        <v>14.5021</v>
      </c>
      <c r="J11" s="20">
        <f t="shared" si="2"/>
        <v>55.256</v>
      </c>
      <c r="K11" s="20">
        <f t="shared" si="2"/>
        <v>47.634</v>
      </c>
      <c r="L11" s="86">
        <f t="shared" si="2"/>
        <v>41.574199999999998</v>
      </c>
      <c r="N11" s="21">
        <f t="shared" si="1"/>
        <v>-25.021585422177445</v>
      </c>
    </row>
    <row r="12" spans="2:14" ht="18.75" customHeight="1" x14ac:dyDescent="0.2">
      <c r="B12" s="15">
        <v>8</v>
      </c>
      <c r="C12" s="64" t="s">
        <v>81</v>
      </c>
      <c r="D12" s="20">
        <v>140.74</v>
      </c>
      <c r="E12" s="20">
        <v>125.56</v>
      </c>
      <c r="F12" s="20">
        <v>128.70169999999999</v>
      </c>
      <c r="G12" s="20">
        <v>13.45</v>
      </c>
      <c r="H12" s="20">
        <v>41.427599999999998</v>
      </c>
      <c r="I12" s="20">
        <v>31.774999999999999</v>
      </c>
      <c r="J12" s="20">
        <f>G12+D12</f>
        <v>154.19</v>
      </c>
      <c r="K12" s="20">
        <f t="shared" ref="K12:L15" si="3">E12+H12</f>
        <v>166.98759999999999</v>
      </c>
      <c r="L12" s="86">
        <f t="shared" si="3"/>
        <v>160.47669999999999</v>
      </c>
      <c r="N12" s="21">
        <f t="shared" si="1"/>
        <v>-16.199032023934709</v>
      </c>
    </row>
    <row r="13" spans="2:14" ht="18.75" customHeight="1" x14ac:dyDescent="0.2">
      <c r="B13" s="15">
        <v>9</v>
      </c>
      <c r="C13" s="64" t="s">
        <v>3</v>
      </c>
      <c r="D13" s="5">
        <v>2303.0300000000002</v>
      </c>
      <c r="E13" s="5">
        <v>2926.7660000000001</v>
      </c>
      <c r="F13" s="5">
        <v>3579.2671</v>
      </c>
      <c r="G13" s="20">
        <v>373.65</v>
      </c>
      <c r="H13" s="20">
        <v>382.75</v>
      </c>
      <c r="I13" s="20">
        <v>696.59680000000003</v>
      </c>
      <c r="J13" s="20">
        <f>D13+G13</f>
        <v>2676.6800000000003</v>
      </c>
      <c r="K13" s="20">
        <f t="shared" si="3"/>
        <v>3309.5160000000001</v>
      </c>
      <c r="L13" s="86">
        <f t="shared" si="3"/>
        <v>4275.8639000000003</v>
      </c>
      <c r="N13" s="21">
        <f t="shared" si="1"/>
        <v>16.899070196367088</v>
      </c>
    </row>
    <row r="14" spans="2:14" ht="18.75" customHeight="1" x14ac:dyDescent="0.2">
      <c r="B14" s="15">
        <v>10</v>
      </c>
      <c r="C14" s="64" t="s">
        <v>4</v>
      </c>
      <c r="D14" s="20">
        <v>2607.61</v>
      </c>
      <c r="E14" s="20">
        <v>3087.212</v>
      </c>
      <c r="F14" s="20">
        <v>4037.7316000000001</v>
      </c>
      <c r="G14" s="20">
        <v>323.49</v>
      </c>
      <c r="H14" s="20">
        <v>421.75599999999997</v>
      </c>
      <c r="I14" s="20">
        <v>215.291</v>
      </c>
      <c r="J14" s="20">
        <f>D14+G14</f>
        <v>2931.1000000000004</v>
      </c>
      <c r="K14" s="20">
        <f t="shared" si="3"/>
        <v>3508.9679999999998</v>
      </c>
      <c r="L14" s="86">
        <f t="shared" si="3"/>
        <v>4253.0226000000002</v>
      </c>
      <c r="N14" s="21">
        <f t="shared" si="1"/>
        <v>8.9043711997373691</v>
      </c>
    </row>
    <row r="15" spans="2:14" ht="18.75" customHeight="1" x14ac:dyDescent="0.2">
      <c r="B15" s="15">
        <v>11</v>
      </c>
      <c r="C15" s="64" t="s">
        <v>47</v>
      </c>
      <c r="D15" s="5">
        <v>14265</v>
      </c>
      <c r="E15" s="5">
        <v>15411.1</v>
      </c>
      <c r="F15" s="5">
        <v>17000.009999999998</v>
      </c>
      <c r="G15" s="5">
        <v>14454.24</v>
      </c>
      <c r="H15" s="5">
        <v>4625.93</v>
      </c>
      <c r="I15" s="5">
        <v>5173.3159999999998</v>
      </c>
      <c r="J15" s="20">
        <f>G15+D15</f>
        <v>28719.239999999998</v>
      </c>
      <c r="K15" s="20">
        <f t="shared" si="3"/>
        <v>20037.03</v>
      </c>
      <c r="L15" s="86">
        <f t="shared" si="3"/>
        <v>22173.325999999997</v>
      </c>
      <c r="N15" s="21">
        <f t="shared" si="1"/>
        <v>-1.6382602112189364</v>
      </c>
    </row>
    <row r="16" spans="2:14" ht="18.75" customHeight="1" x14ac:dyDescent="0.2">
      <c r="B16" s="15">
        <v>12</v>
      </c>
      <c r="C16" s="64" t="s">
        <v>65</v>
      </c>
      <c r="D16" s="20">
        <v>142.16</v>
      </c>
      <c r="E16" s="20">
        <v>91.691000000000003</v>
      </c>
      <c r="F16" s="20">
        <v>61.406999999999996</v>
      </c>
      <c r="G16" s="20">
        <v>27.02</v>
      </c>
      <c r="H16" s="20">
        <v>5.08</v>
      </c>
      <c r="I16" s="20">
        <v>0.93740000000000001</v>
      </c>
      <c r="J16" s="20">
        <f>G16+D16</f>
        <v>169.18</v>
      </c>
      <c r="K16" s="20">
        <f>H16+E16</f>
        <v>96.771000000000001</v>
      </c>
      <c r="L16" s="86">
        <f>I16+F16</f>
        <v>62.344399999999993</v>
      </c>
      <c r="N16" s="21">
        <f t="shared" si="1"/>
        <v>-47.875327319134882</v>
      </c>
    </row>
    <row r="17" spans="2:14" ht="18.75" customHeight="1" x14ac:dyDescent="0.2">
      <c r="B17" s="15">
        <v>13</v>
      </c>
      <c r="C17" s="64" t="s">
        <v>41</v>
      </c>
      <c r="D17" s="20">
        <v>799.48</v>
      </c>
      <c r="E17" s="20">
        <v>1126.558</v>
      </c>
      <c r="F17" s="20">
        <v>1376.4880000000001</v>
      </c>
      <c r="G17" s="37">
        <v>-52.69</v>
      </c>
      <c r="H17" s="37">
        <v>-52.179000000000002</v>
      </c>
      <c r="I17" s="37">
        <v>25.907</v>
      </c>
      <c r="J17" s="20">
        <f>G17+D17</f>
        <v>746.79</v>
      </c>
      <c r="K17" s="20">
        <f>H17+E17</f>
        <v>1074.3789999999999</v>
      </c>
      <c r="L17" s="88">
        <f>I17+F17</f>
        <v>1402.395</v>
      </c>
      <c r="N17" s="21">
        <f t="shared" si="1"/>
        <v>18.230753114124543</v>
      </c>
    </row>
    <row r="18" spans="2:14" ht="18.75" customHeight="1" x14ac:dyDescent="0.2">
      <c r="B18" s="15">
        <v>14</v>
      </c>
      <c r="C18" s="64" t="s">
        <v>104</v>
      </c>
      <c r="D18" s="20">
        <v>1394.93</v>
      </c>
      <c r="E18" s="20">
        <v>871.44</v>
      </c>
      <c r="F18" s="20">
        <v>398.86500000000001</v>
      </c>
      <c r="G18" s="37">
        <v>-69.94</v>
      </c>
      <c r="H18" s="20">
        <v>13.066000000000001</v>
      </c>
      <c r="I18" s="20">
        <v>26.715</v>
      </c>
      <c r="J18" s="20">
        <f t="shared" ref="J18:L19" si="4">D18+G18</f>
        <v>1324.99</v>
      </c>
      <c r="K18" s="20">
        <f t="shared" si="4"/>
        <v>884.50600000000009</v>
      </c>
      <c r="L18" s="86">
        <f t="shared" si="4"/>
        <v>425.58</v>
      </c>
      <c r="N18" s="21">
        <f t="shared" si="1"/>
        <v>-64.185006998256654</v>
      </c>
    </row>
    <row r="19" spans="2:14" ht="18.75" customHeight="1" x14ac:dyDescent="0.2">
      <c r="B19" s="15">
        <v>15</v>
      </c>
      <c r="C19" s="64" t="s">
        <v>98</v>
      </c>
      <c r="D19" s="20">
        <v>163.26</v>
      </c>
      <c r="E19" s="20">
        <v>243.11</v>
      </c>
      <c r="F19" s="20">
        <v>289.96969999999999</v>
      </c>
      <c r="G19" s="20">
        <v>14.79</v>
      </c>
      <c r="H19" s="20">
        <v>29.72</v>
      </c>
      <c r="I19" s="20">
        <v>30.4161</v>
      </c>
      <c r="J19" s="20">
        <f t="shared" si="4"/>
        <v>178.04999999999998</v>
      </c>
      <c r="K19" s="20">
        <f t="shared" si="4"/>
        <v>272.83000000000004</v>
      </c>
      <c r="L19" s="86">
        <f t="shared" si="4"/>
        <v>320.38580000000002</v>
      </c>
      <c r="N19" s="21">
        <f t="shared" si="1"/>
        <v>5.1305611552981603</v>
      </c>
    </row>
    <row r="20" spans="2:14" ht="18.75" customHeight="1" x14ac:dyDescent="0.2">
      <c r="B20" s="15">
        <v>16</v>
      </c>
      <c r="C20" s="64" t="s">
        <v>53</v>
      </c>
      <c r="D20" s="5">
        <v>5734.893</v>
      </c>
      <c r="E20" s="5">
        <v>7836.7629999999999</v>
      </c>
      <c r="F20" s="5">
        <v>9295.23</v>
      </c>
      <c r="G20" s="20">
        <v>969.90300000000002</v>
      </c>
      <c r="H20" s="20">
        <v>1547.1769999999999</v>
      </c>
      <c r="I20" s="20">
        <v>2036.8630000000001</v>
      </c>
      <c r="J20" s="20">
        <f t="shared" ref="J20:L21" si="5">G20+D20</f>
        <v>6704.7960000000003</v>
      </c>
      <c r="K20" s="20">
        <f t="shared" si="5"/>
        <v>9383.94</v>
      </c>
      <c r="L20" s="86">
        <f t="shared" si="5"/>
        <v>11332.092999999999</v>
      </c>
      <c r="M20" s="92"/>
      <c r="N20" s="21">
        <f t="shared" si="1"/>
        <v>8.4605014524815623</v>
      </c>
    </row>
    <row r="21" spans="2:14" ht="18.75" customHeight="1" x14ac:dyDescent="0.2">
      <c r="B21" s="15">
        <v>17</v>
      </c>
      <c r="C21" s="64" t="s">
        <v>5</v>
      </c>
      <c r="D21" s="5">
        <v>8517.8799999999992</v>
      </c>
      <c r="E21" s="5">
        <v>9723.0879999999997</v>
      </c>
      <c r="F21" s="5">
        <v>10358.578799999999</v>
      </c>
      <c r="G21" s="20">
        <v>476.07</v>
      </c>
      <c r="H21" s="20">
        <v>1510.8230000000001</v>
      </c>
      <c r="I21" s="20">
        <v>2056.5500000000002</v>
      </c>
      <c r="J21" s="20">
        <f t="shared" si="5"/>
        <v>8993.9499999999989</v>
      </c>
      <c r="K21" s="20">
        <f t="shared" si="5"/>
        <v>11233.911</v>
      </c>
      <c r="L21" s="86">
        <f t="shared" si="5"/>
        <v>12415.128799999999</v>
      </c>
      <c r="N21" s="21">
        <f t="shared" si="1"/>
        <v>-1.7852487259334833</v>
      </c>
    </row>
    <row r="22" spans="2:14" ht="18.75" customHeight="1" x14ac:dyDescent="0.2">
      <c r="B22" s="15">
        <v>18</v>
      </c>
      <c r="C22" s="64" t="s">
        <v>60</v>
      </c>
      <c r="D22" s="20">
        <v>72.22</v>
      </c>
      <c r="E22" s="20">
        <v>85.06</v>
      </c>
      <c r="F22" s="20">
        <v>101.878</v>
      </c>
      <c r="G22" s="20">
        <v>45.198</v>
      </c>
      <c r="H22" s="20">
        <v>16.2</v>
      </c>
      <c r="I22" s="20">
        <v>11.125</v>
      </c>
      <c r="J22" s="20">
        <f>D22+G22</f>
        <v>117.41800000000001</v>
      </c>
      <c r="K22" s="20">
        <f>H22+E22</f>
        <v>101.26</v>
      </c>
      <c r="L22" s="86">
        <f>I22+F22</f>
        <v>113.003</v>
      </c>
      <c r="N22" s="21">
        <f t="shared" si="1"/>
        <v>-0.70312067943907408</v>
      </c>
    </row>
    <row r="23" spans="2:14" ht="18.75" customHeight="1" x14ac:dyDescent="0.2">
      <c r="B23" s="15">
        <v>19</v>
      </c>
      <c r="C23" s="64" t="s">
        <v>99</v>
      </c>
      <c r="D23" s="20">
        <v>289.89999999999998</v>
      </c>
      <c r="E23" s="20">
        <v>538.42999999999995</v>
      </c>
      <c r="F23" s="20">
        <v>642.47090000000003</v>
      </c>
      <c r="G23" s="20">
        <v>42.63</v>
      </c>
      <c r="H23" s="20">
        <v>55.88</v>
      </c>
      <c r="I23" s="20">
        <v>103.1193</v>
      </c>
      <c r="J23" s="20">
        <f>G23+D23</f>
        <v>332.53</v>
      </c>
      <c r="K23" s="20">
        <f t="shared" ref="K23:L25" si="6">E23+H23</f>
        <v>594.30999999999995</v>
      </c>
      <c r="L23" s="86">
        <f t="shared" si="6"/>
        <v>745.59019999999998</v>
      </c>
      <c r="N23" s="21">
        <f t="shared" si="1"/>
        <v>13.154762665948756</v>
      </c>
    </row>
    <row r="24" spans="2:14" ht="18.75" customHeight="1" x14ac:dyDescent="0.2">
      <c r="B24" s="15">
        <v>20</v>
      </c>
      <c r="C24" s="64" t="s">
        <v>66</v>
      </c>
      <c r="D24" s="20">
        <v>557.36</v>
      </c>
      <c r="E24" s="20">
        <v>536.23500000000001</v>
      </c>
      <c r="F24" s="20">
        <v>475.52600000000001</v>
      </c>
      <c r="G24" s="37">
        <v>-36.14</v>
      </c>
      <c r="H24" s="37">
        <v>-0.22</v>
      </c>
      <c r="I24" s="37">
        <v>51.307000000000002</v>
      </c>
      <c r="J24" s="20">
        <f>D24+G24</f>
        <v>521.22</v>
      </c>
      <c r="K24" s="20">
        <f t="shared" si="6"/>
        <v>536.01499999999999</v>
      </c>
      <c r="L24" s="86">
        <f t="shared" si="6"/>
        <v>526.83299999999997</v>
      </c>
      <c r="N24" s="21">
        <f t="shared" si="1"/>
        <v>-14.013011762730525</v>
      </c>
    </row>
    <row r="25" spans="2:14" ht="18.75" customHeight="1" x14ac:dyDescent="0.2">
      <c r="B25" s="15">
        <v>21</v>
      </c>
      <c r="C25" s="64" t="s">
        <v>39</v>
      </c>
      <c r="D25" s="20">
        <v>17.63</v>
      </c>
      <c r="E25" s="20">
        <v>21.33</v>
      </c>
      <c r="F25" s="20">
        <v>21.5306</v>
      </c>
      <c r="G25" s="20">
        <v>26.15</v>
      </c>
      <c r="H25" s="20">
        <v>21.637</v>
      </c>
      <c r="I25" s="20">
        <v>13.117900000000001</v>
      </c>
      <c r="J25" s="20">
        <f>D25+G25</f>
        <v>43.78</v>
      </c>
      <c r="K25" s="20">
        <f t="shared" si="6"/>
        <v>42.966999999999999</v>
      </c>
      <c r="L25" s="86">
        <f t="shared" si="6"/>
        <v>34.648499999999999</v>
      </c>
      <c r="N25" s="21">
        <f t="shared" si="1"/>
        <v>-31.660206670235297</v>
      </c>
    </row>
    <row r="26" spans="2:14" ht="18.75" customHeight="1" x14ac:dyDescent="0.2">
      <c r="B26" s="15">
        <v>22</v>
      </c>
      <c r="C26" s="64" t="s">
        <v>85</v>
      </c>
      <c r="D26" s="5">
        <v>15602.76</v>
      </c>
      <c r="E26" s="5">
        <v>19962.248</v>
      </c>
      <c r="F26" s="5">
        <v>23414.080399999999</v>
      </c>
      <c r="G26" s="5">
        <v>1731.01</v>
      </c>
      <c r="H26" s="5">
        <v>3952.723</v>
      </c>
      <c r="I26" s="5">
        <v>4197.4722000000002</v>
      </c>
      <c r="J26" s="20">
        <f>G26+D26</f>
        <v>17333.77</v>
      </c>
      <c r="K26" s="20">
        <f>H26+E26</f>
        <v>23914.970999999998</v>
      </c>
      <c r="L26" s="86">
        <f>F26+I26</f>
        <v>27611.552599999999</v>
      </c>
      <c r="N26" s="21">
        <f t="shared" si="1"/>
        <v>3.1571862119339453</v>
      </c>
    </row>
    <row r="27" spans="2:14" ht="18.75" customHeight="1" x14ac:dyDescent="0.2">
      <c r="B27" s="15">
        <v>23</v>
      </c>
      <c r="C27" s="64" t="s">
        <v>59</v>
      </c>
      <c r="D27" s="20">
        <v>44.9</v>
      </c>
      <c r="E27" s="20">
        <v>60.2</v>
      </c>
      <c r="F27" s="20">
        <v>64.465599999999995</v>
      </c>
      <c r="G27" s="20">
        <v>8.48</v>
      </c>
      <c r="H27" s="20">
        <v>6.14</v>
      </c>
      <c r="I27" s="20">
        <v>5.4855999999999998</v>
      </c>
      <c r="J27" s="20">
        <f>D27+G27</f>
        <v>53.379999999999995</v>
      </c>
      <c r="K27" s="20">
        <f>E27+H27</f>
        <v>66.34</v>
      </c>
      <c r="L27" s="86">
        <f>F27+I27</f>
        <v>69.9512</v>
      </c>
      <c r="N27" s="21">
        <f t="shared" si="1"/>
        <v>-6.8565269822128494</v>
      </c>
    </row>
    <row r="28" spans="2:14" ht="18.75" customHeight="1" x14ac:dyDescent="0.2">
      <c r="B28" s="15">
        <v>24</v>
      </c>
      <c r="C28" s="64" t="s">
        <v>86</v>
      </c>
      <c r="D28" s="20">
        <v>219.41</v>
      </c>
      <c r="E28" s="20">
        <v>324.85399999999998</v>
      </c>
      <c r="F28" s="20">
        <v>369.98700000000002</v>
      </c>
      <c r="G28" s="20">
        <v>11.16</v>
      </c>
      <c r="H28" s="20">
        <v>37.307000000000002</v>
      </c>
      <c r="I28" s="20">
        <v>34.189900000000002</v>
      </c>
      <c r="J28" s="20">
        <f t="shared" ref="J28:L29" si="7">G28+D28</f>
        <v>230.57</v>
      </c>
      <c r="K28" s="20">
        <f t="shared" si="7"/>
        <v>362.161</v>
      </c>
      <c r="L28" s="86">
        <f t="shared" si="7"/>
        <v>404.17690000000005</v>
      </c>
      <c r="N28" s="21">
        <f t="shared" si="1"/>
        <v>-0.69855754761002942</v>
      </c>
    </row>
    <row r="29" spans="2:14" ht="18.75" customHeight="1" x14ac:dyDescent="0.2">
      <c r="B29" s="15">
        <v>25</v>
      </c>
      <c r="C29" s="64" t="s">
        <v>6</v>
      </c>
      <c r="D29" s="5">
        <v>4827.74</v>
      </c>
      <c r="E29" s="5">
        <v>6739.1610000000001</v>
      </c>
      <c r="F29" s="5">
        <v>8173.9465</v>
      </c>
      <c r="G29" s="20">
        <v>877.14</v>
      </c>
      <c r="H29" s="20">
        <v>1357.7280000000001</v>
      </c>
      <c r="I29" s="20">
        <v>2324.6113</v>
      </c>
      <c r="J29" s="20">
        <f t="shared" si="7"/>
        <v>5704.88</v>
      </c>
      <c r="K29" s="20">
        <f t="shared" si="7"/>
        <v>8096.8890000000001</v>
      </c>
      <c r="L29" s="86">
        <f t="shared" si="7"/>
        <v>10498.5578</v>
      </c>
      <c r="N29" s="21">
        <f t="shared" si="1"/>
        <v>17.361624359676913</v>
      </c>
    </row>
    <row r="30" spans="2:14" ht="18.75" customHeight="1" x14ac:dyDescent="0.2">
      <c r="B30" s="15">
        <v>26</v>
      </c>
      <c r="C30" s="64" t="s">
        <v>35</v>
      </c>
      <c r="D30" s="20">
        <v>10.57</v>
      </c>
      <c r="E30" s="20">
        <v>40.232999999999997</v>
      </c>
      <c r="F30" s="20">
        <v>109.01900000000001</v>
      </c>
      <c r="G30" s="20">
        <v>9.89</v>
      </c>
      <c r="H30" s="20">
        <v>53.619</v>
      </c>
      <c r="I30" s="20">
        <v>84.748999999999995</v>
      </c>
      <c r="J30" s="20">
        <f t="shared" ref="J30:L31" si="8">D30+G30</f>
        <v>20.46</v>
      </c>
      <c r="K30" s="20">
        <f t="shared" si="8"/>
        <v>93.852000000000004</v>
      </c>
      <c r="L30" s="86">
        <f t="shared" si="8"/>
        <v>193.768</v>
      </c>
      <c r="N30" s="21">
        <f t="shared" si="1"/>
        <v>94.161236840983676</v>
      </c>
    </row>
    <row r="31" spans="2:14" ht="18.75" customHeight="1" x14ac:dyDescent="0.2">
      <c r="B31" s="15">
        <v>27</v>
      </c>
      <c r="C31" s="64" t="s">
        <v>62</v>
      </c>
      <c r="D31" s="20">
        <v>167.45</v>
      </c>
      <c r="E31" s="20">
        <v>261.39100000000002</v>
      </c>
      <c r="F31" s="20">
        <v>301.03800000000001</v>
      </c>
      <c r="G31" s="20">
        <v>23.7</v>
      </c>
      <c r="H31" s="20">
        <v>26.678000000000001</v>
      </c>
      <c r="I31" s="20">
        <v>33.876899999999999</v>
      </c>
      <c r="J31" s="20">
        <f t="shared" si="8"/>
        <v>191.14999999999998</v>
      </c>
      <c r="K31" s="20">
        <f t="shared" si="8"/>
        <v>288.06900000000002</v>
      </c>
      <c r="L31" s="86">
        <f t="shared" si="8"/>
        <v>334.91489999999999</v>
      </c>
      <c r="N31" s="21">
        <f t="shared" si="1"/>
        <v>3.9620413859179457</v>
      </c>
    </row>
    <row r="32" spans="2:14" ht="18.75" customHeight="1" x14ac:dyDescent="0.2">
      <c r="B32" s="15">
        <v>28</v>
      </c>
      <c r="C32" s="64" t="s">
        <v>78</v>
      </c>
      <c r="D32" s="20">
        <v>159.12</v>
      </c>
      <c r="E32" s="20">
        <v>221.93</v>
      </c>
      <c r="F32" s="20">
        <v>235.13470000000001</v>
      </c>
      <c r="G32" s="37">
        <v>-23.38</v>
      </c>
      <c r="H32" s="20">
        <v>8.84</v>
      </c>
      <c r="I32" s="20">
        <v>13.042299999999999</v>
      </c>
      <c r="J32" s="20">
        <f>G32+D32</f>
        <v>135.74</v>
      </c>
      <c r="K32" s="20">
        <f>H32+E32</f>
        <v>230.77</v>
      </c>
      <c r="L32" s="86">
        <f>I32+F32</f>
        <v>248.17700000000002</v>
      </c>
      <c r="N32" s="21">
        <f t="shared" si="1"/>
        <v>-4.756991810027297</v>
      </c>
    </row>
    <row r="33" spans="2:14" ht="18.75" customHeight="1" x14ac:dyDescent="0.2">
      <c r="B33" s="15">
        <v>29</v>
      </c>
      <c r="C33" s="64" t="s">
        <v>49</v>
      </c>
      <c r="D33" s="20">
        <v>2.23</v>
      </c>
      <c r="E33" s="20" t="s">
        <v>105</v>
      </c>
      <c r="F33" s="20" t="s">
        <v>105</v>
      </c>
      <c r="G33" s="20">
        <v>0.02</v>
      </c>
      <c r="H33" s="20" t="s">
        <v>105</v>
      </c>
      <c r="I33" s="20" t="s">
        <v>105</v>
      </c>
      <c r="J33" s="20">
        <f>G33+D33</f>
        <v>2.25</v>
      </c>
      <c r="K33" s="20" t="s">
        <v>105</v>
      </c>
      <c r="L33" s="6" t="s">
        <v>105</v>
      </c>
      <c r="N33" s="21" t="e">
        <f t="shared" si="1"/>
        <v>#VALUE!</v>
      </c>
    </row>
    <row r="34" spans="2:14" ht="18.75" customHeight="1" x14ac:dyDescent="0.2">
      <c r="B34" s="15">
        <v>30</v>
      </c>
      <c r="C34" s="64" t="s">
        <v>7</v>
      </c>
      <c r="D34" s="20">
        <v>87.08</v>
      </c>
      <c r="E34" s="20">
        <v>115.998</v>
      </c>
      <c r="F34" s="20">
        <v>165.12870000000001</v>
      </c>
      <c r="G34" s="20">
        <v>17.86</v>
      </c>
      <c r="H34" s="20">
        <v>13.888</v>
      </c>
      <c r="I34" s="20">
        <v>17.082100000000001</v>
      </c>
      <c r="J34" s="20">
        <f>G34+D34</f>
        <v>104.94</v>
      </c>
      <c r="K34" s="20">
        <f t="shared" ref="K34:L39" si="9">H34+E34</f>
        <v>129.886</v>
      </c>
      <c r="L34" s="86">
        <f t="shared" si="9"/>
        <v>182.21080000000001</v>
      </c>
      <c r="N34" s="21">
        <f t="shared" si="1"/>
        <v>27.985173151840851</v>
      </c>
    </row>
    <row r="35" spans="2:14" ht="18.75" customHeight="1" x14ac:dyDescent="0.2">
      <c r="B35" s="15">
        <v>31</v>
      </c>
      <c r="C35" s="64" t="s">
        <v>54</v>
      </c>
      <c r="D35" s="5">
        <v>1451.36</v>
      </c>
      <c r="E35" s="5">
        <v>2181.855</v>
      </c>
      <c r="F35" s="5">
        <v>3301.3425000000002</v>
      </c>
      <c r="G35" s="20">
        <v>326.36</v>
      </c>
      <c r="H35" s="20">
        <v>419.46100000000001</v>
      </c>
      <c r="I35" s="20">
        <v>550.0729</v>
      </c>
      <c r="J35" s="20">
        <f>G35+D35</f>
        <v>1777.7199999999998</v>
      </c>
      <c r="K35" s="20">
        <f t="shared" si="9"/>
        <v>2601.3159999999998</v>
      </c>
      <c r="L35" s="86">
        <f t="shared" si="9"/>
        <v>3851.4154000000003</v>
      </c>
      <c r="N35" s="21">
        <f t="shared" si="1"/>
        <v>35.756422210911737</v>
      </c>
    </row>
    <row r="36" spans="2:14" ht="18.75" customHeight="1" x14ac:dyDescent="0.2">
      <c r="B36" s="15">
        <v>32</v>
      </c>
      <c r="C36" s="64" t="s">
        <v>67</v>
      </c>
      <c r="D36" s="5">
        <v>1797.5239999999999</v>
      </c>
      <c r="E36" s="5">
        <v>2484.8969999999999</v>
      </c>
      <c r="F36" s="5">
        <v>2795.9549000000002</v>
      </c>
      <c r="G36" s="20">
        <v>449.41</v>
      </c>
      <c r="H36" s="20">
        <v>628</v>
      </c>
      <c r="I36" s="20">
        <v>840.02099999999996</v>
      </c>
      <c r="J36" s="20">
        <f>G36+D36</f>
        <v>2246.9339999999997</v>
      </c>
      <c r="K36" s="20">
        <f t="shared" si="9"/>
        <v>3112.8969999999999</v>
      </c>
      <c r="L36" s="86">
        <f t="shared" si="9"/>
        <v>3635.9759000000004</v>
      </c>
      <c r="N36" s="21">
        <f t="shared" si="1"/>
        <v>4.5036044880380075</v>
      </c>
    </row>
    <row r="37" spans="2:14" ht="18.75" customHeight="1" x14ac:dyDescent="0.2">
      <c r="B37" s="15">
        <v>33</v>
      </c>
      <c r="C37" s="64" t="s">
        <v>83</v>
      </c>
      <c r="D37" s="20">
        <v>190.5</v>
      </c>
      <c r="E37" s="20">
        <v>272.58999999999997</v>
      </c>
      <c r="F37" s="20">
        <v>264.98700000000002</v>
      </c>
      <c r="G37" s="20">
        <v>0.62</v>
      </c>
      <c r="H37" s="20">
        <v>0.95889999999999997</v>
      </c>
      <c r="I37" s="20">
        <v>3.7759999999999998</v>
      </c>
      <c r="J37" s="20">
        <f>G37+D37</f>
        <v>191.12</v>
      </c>
      <c r="K37" s="20">
        <f t="shared" si="9"/>
        <v>273.5489</v>
      </c>
      <c r="L37" s="86">
        <f t="shared" si="9"/>
        <v>268.76300000000003</v>
      </c>
      <c r="N37" s="21">
        <f t="shared" si="1"/>
        <v>-14.049559219576453</v>
      </c>
    </row>
    <row r="38" spans="2:14" ht="18.75" customHeight="1" x14ac:dyDescent="0.2">
      <c r="B38" s="15">
        <v>34</v>
      </c>
      <c r="C38" s="64" t="s">
        <v>114</v>
      </c>
      <c r="D38" s="20" t="s">
        <v>105</v>
      </c>
      <c r="E38" s="20">
        <v>19.96</v>
      </c>
      <c r="F38" s="20">
        <v>22.83</v>
      </c>
      <c r="G38" s="20" t="s">
        <v>105</v>
      </c>
      <c r="H38" s="20">
        <v>0.20300000000000001</v>
      </c>
      <c r="I38" s="20">
        <v>0.15709999999999999</v>
      </c>
      <c r="J38" s="20" t="s">
        <v>105</v>
      </c>
      <c r="K38" s="20">
        <f t="shared" si="9"/>
        <v>20.163</v>
      </c>
      <c r="L38" s="86">
        <f t="shared" si="9"/>
        <v>22.987099999999998</v>
      </c>
      <c r="N38" s="21">
        <f t="shared" si="1"/>
        <v>1.7063482616674008</v>
      </c>
    </row>
    <row r="39" spans="2:14" ht="18.75" customHeight="1" x14ac:dyDescent="0.2">
      <c r="B39" s="15">
        <v>35</v>
      </c>
      <c r="C39" s="64" t="s">
        <v>61</v>
      </c>
      <c r="D39" s="20">
        <v>15.5</v>
      </c>
      <c r="E39" s="20">
        <v>20.25</v>
      </c>
      <c r="F39" s="20">
        <v>31.028199999999998</v>
      </c>
      <c r="G39" s="20">
        <v>5.75</v>
      </c>
      <c r="H39" s="20">
        <v>12.11</v>
      </c>
      <c r="I39" s="20">
        <v>19.079999999999998</v>
      </c>
      <c r="J39" s="20">
        <f>G39+D39</f>
        <v>21.25</v>
      </c>
      <c r="K39" s="20">
        <f t="shared" si="9"/>
        <v>32.36</v>
      </c>
      <c r="L39" s="86">
        <f t="shared" si="9"/>
        <v>50.108199999999997</v>
      </c>
      <c r="N39" s="21">
        <f t="shared" si="1"/>
        <v>42.546106304079103</v>
      </c>
    </row>
    <row r="40" spans="2:14" ht="18.75" customHeight="1" x14ac:dyDescent="0.2">
      <c r="B40" s="15">
        <v>36</v>
      </c>
      <c r="C40" s="64" t="s">
        <v>68</v>
      </c>
      <c r="D40" s="20">
        <v>88.67</v>
      </c>
      <c r="E40" s="20">
        <v>99.46</v>
      </c>
      <c r="F40" s="20">
        <v>155.465</v>
      </c>
      <c r="G40" s="20">
        <v>12.17</v>
      </c>
      <c r="H40" s="20">
        <v>26.05</v>
      </c>
      <c r="I40" s="20">
        <v>18.107500000000002</v>
      </c>
      <c r="J40" s="20">
        <f>G40+D40</f>
        <v>100.84</v>
      </c>
      <c r="K40" s="20">
        <f>E40+H40</f>
        <v>125.50999999999999</v>
      </c>
      <c r="L40" s="86">
        <f>F40+I40</f>
        <v>173.57249999999999</v>
      </c>
      <c r="N40" s="21">
        <f t="shared" si="1"/>
        <v>25.993761453270661</v>
      </c>
    </row>
    <row r="41" spans="2:14" ht="18.75" customHeight="1" x14ac:dyDescent="0.2">
      <c r="B41" s="15">
        <v>37</v>
      </c>
      <c r="C41" s="64" t="s">
        <v>44</v>
      </c>
      <c r="D41" s="20">
        <v>191.66</v>
      </c>
      <c r="E41" s="20">
        <v>674.04499999999996</v>
      </c>
      <c r="F41" s="20" t="s">
        <v>124</v>
      </c>
      <c r="G41" s="20">
        <v>520.4</v>
      </c>
      <c r="H41" s="20">
        <v>758.75739999999996</v>
      </c>
      <c r="I41" s="20" t="s">
        <v>124</v>
      </c>
      <c r="J41" s="20">
        <f>G41+D41</f>
        <v>712.06</v>
      </c>
      <c r="K41" s="20">
        <f t="shared" ref="K41:L43" si="10">H41+E41</f>
        <v>1432.8024</v>
      </c>
      <c r="L41" s="20" t="s">
        <v>124</v>
      </c>
      <c r="N41" s="21" t="e">
        <f t="shared" si="1"/>
        <v>#VALUE!</v>
      </c>
    </row>
    <row r="42" spans="2:14" ht="18.75" customHeight="1" x14ac:dyDescent="0.2">
      <c r="B42" s="15">
        <v>38</v>
      </c>
      <c r="C42" s="64" t="s">
        <v>73</v>
      </c>
      <c r="D42" s="20">
        <v>665.67</v>
      </c>
      <c r="E42" s="20">
        <v>752.93200000000002</v>
      </c>
      <c r="F42" s="20">
        <v>740.83330000000001</v>
      </c>
      <c r="G42" s="20">
        <v>201.35</v>
      </c>
      <c r="H42" s="20">
        <v>186.577</v>
      </c>
      <c r="I42" s="20">
        <v>175.73820000000001</v>
      </c>
      <c r="J42" s="20">
        <f>G42+D42</f>
        <v>867.02</v>
      </c>
      <c r="K42" s="20">
        <f t="shared" si="10"/>
        <v>939.50900000000001</v>
      </c>
      <c r="L42" s="86">
        <f t="shared" si="10"/>
        <v>916.57150000000001</v>
      </c>
      <c r="N42" s="21">
        <f t="shared" si="1"/>
        <v>-14.741434834578488</v>
      </c>
    </row>
    <row r="43" spans="2:14" ht="18.75" customHeight="1" x14ac:dyDescent="0.2">
      <c r="B43" s="15">
        <v>39</v>
      </c>
      <c r="C43" s="64" t="s">
        <v>50</v>
      </c>
      <c r="D43" s="20">
        <v>738.28</v>
      </c>
      <c r="E43" s="20">
        <v>892.51300000000003</v>
      </c>
      <c r="F43" s="20">
        <v>1017.8909</v>
      </c>
      <c r="G43" s="20">
        <v>86.71</v>
      </c>
      <c r="H43" s="20">
        <v>70.135000000000005</v>
      </c>
      <c r="I43" s="20">
        <v>80.133200000000002</v>
      </c>
      <c r="J43" s="20">
        <f>G43+D43</f>
        <v>824.99</v>
      </c>
      <c r="K43" s="20">
        <f t="shared" si="10"/>
        <v>962.64800000000002</v>
      </c>
      <c r="L43" s="86">
        <f t="shared" si="10"/>
        <v>1098.0241000000001</v>
      </c>
      <c r="N43" s="21">
        <f t="shared" si="1"/>
        <v>1.7628869534866389</v>
      </c>
    </row>
    <row r="44" spans="2:14" ht="18.75" customHeight="1" x14ac:dyDescent="0.2">
      <c r="B44" s="15">
        <v>40</v>
      </c>
      <c r="C44" s="64" t="s">
        <v>8</v>
      </c>
      <c r="D44" s="20">
        <v>427.3</v>
      </c>
      <c r="E44" s="20">
        <v>504.24970000000002</v>
      </c>
      <c r="F44" s="20">
        <v>489.14429999999999</v>
      </c>
      <c r="G44" s="37">
        <v>-5.59</v>
      </c>
      <c r="H44" s="37">
        <v>91.420500000000004</v>
      </c>
      <c r="I44" s="37">
        <v>19.4648</v>
      </c>
      <c r="J44" s="20">
        <f>D44+G44</f>
        <v>421.71000000000004</v>
      </c>
      <c r="K44" s="20">
        <f>E44+H44</f>
        <v>595.67020000000002</v>
      </c>
      <c r="L44" s="86">
        <f>F44+I44</f>
        <v>508.60910000000001</v>
      </c>
      <c r="N44" s="21">
        <f t="shared" si="1"/>
        <v>-26.915654770038859</v>
      </c>
    </row>
    <row r="45" spans="2:14" ht="18.75" customHeight="1" x14ac:dyDescent="0.2">
      <c r="B45" s="15">
        <v>41</v>
      </c>
      <c r="C45" s="64" t="s">
        <v>51</v>
      </c>
      <c r="D45" s="20">
        <v>6.37</v>
      </c>
      <c r="E45" s="20">
        <v>10.255000000000001</v>
      </c>
      <c r="F45" s="20">
        <v>15.766</v>
      </c>
      <c r="G45" s="20">
        <v>13.22</v>
      </c>
      <c r="H45" s="20">
        <v>10.618</v>
      </c>
      <c r="I45" s="20">
        <v>2.5529000000000002</v>
      </c>
      <c r="J45" s="20">
        <f>G45+D45</f>
        <v>19.59</v>
      </c>
      <c r="K45" s="20">
        <f>H45+E45</f>
        <v>20.873000000000001</v>
      </c>
      <c r="L45" s="86">
        <f>I45+F45</f>
        <v>18.318899999999999</v>
      </c>
      <c r="N45" s="21">
        <f t="shared" si="1"/>
        <v>-24.536381928807558</v>
      </c>
    </row>
    <row r="46" spans="2:14" ht="18.75" customHeight="1" x14ac:dyDescent="0.2">
      <c r="B46" s="15">
        <v>42</v>
      </c>
      <c r="C46" s="64" t="s">
        <v>9</v>
      </c>
      <c r="D46" s="5">
        <v>12313.63</v>
      </c>
      <c r="E46" s="5">
        <v>16786.669999999998</v>
      </c>
      <c r="F46" s="5">
        <v>16930.133099999999</v>
      </c>
      <c r="G46" s="5">
        <v>2023.58</v>
      </c>
      <c r="H46" s="5">
        <v>4861.6499999999996</v>
      </c>
      <c r="I46" s="5">
        <v>3007.4560999999999</v>
      </c>
      <c r="J46" s="20">
        <f>G46+D46</f>
        <v>14337.21</v>
      </c>
      <c r="K46" s="20">
        <f>E46+H46</f>
        <v>21648.32</v>
      </c>
      <c r="L46" s="86">
        <f>F46+I46</f>
        <v>19937.589199999999</v>
      </c>
      <c r="N46" s="21">
        <f t="shared" si="1"/>
        <v>-20.202372100929779</v>
      </c>
    </row>
    <row r="47" spans="2:14" ht="18.75" customHeight="1" x14ac:dyDescent="0.2">
      <c r="B47" s="15">
        <v>43</v>
      </c>
      <c r="C47" s="64" t="s">
        <v>84</v>
      </c>
      <c r="D47" s="5">
        <v>1723.05</v>
      </c>
      <c r="E47" s="5">
        <v>2789.0050000000001</v>
      </c>
      <c r="F47" s="5">
        <v>3384.1388000000002</v>
      </c>
      <c r="G47" s="20">
        <v>279.57</v>
      </c>
      <c r="H47" s="20">
        <v>311.31700000000001</v>
      </c>
      <c r="I47" s="20">
        <v>383.62889999999999</v>
      </c>
      <c r="J47" s="20">
        <f>D47+G47</f>
        <v>2002.62</v>
      </c>
      <c r="K47" s="20">
        <f>E47+H47</f>
        <v>3100.3220000000001</v>
      </c>
      <c r="L47" s="86">
        <f>F47+I47</f>
        <v>3767.7677000000003</v>
      </c>
      <c r="N47" s="21">
        <f t="shared" si="1"/>
        <v>9.2282702893441453</v>
      </c>
    </row>
    <row r="48" spans="2:14" ht="18.75" customHeight="1" x14ac:dyDescent="0.2">
      <c r="B48" s="15">
        <v>44</v>
      </c>
      <c r="C48" s="64" t="s">
        <v>40</v>
      </c>
      <c r="D48" s="20">
        <v>67.099999999999994</v>
      </c>
      <c r="E48" s="20">
        <v>96.14</v>
      </c>
      <c r="F48" s="20">
        <v>88.838899999999995</v>
      </c>
      <c r="G48" s="20">
        <v>10.5</v>
      </c>
      <c r="H48" s="20">
        <v>10.95</v>
      </c>
      <c r="I48" s="20">
        <v>10.196</v>
      </c>
      <c r="J48" s="20">
        <f>G48+D48</f>
        <v>77.599999999999994</v>
      </c>
      <c r="K48" s="20">
        <f>H48+E48</f>
        <v>107.09</v>
      </c>
      <c r="L48" s="86">
        <f>I48+F48</f>
        <v>99.034899999999993</v>
      </c>
      <c r="N48" s="21">
        <f t="shared" si="1"/>
        <v>-19.821804090017753</v>
      </c>
    </row>
    <row r="49" spans="2:14" ht="18.75" customHeight="1" thickBot="1" x14ac:dyDescent="0.25">
      <c r="B49" s="67">
        <v>45</v>
      </c>
      <c r="C49" s="68" t="s">
        <v>52</v>
      </c>
      <c r="D49" s="23">
        <v>311.12</v>
      </c>
      <c r="E49" s="23">
        <v>327.47699999999998</v>
      </c>
      <c r="F49" s="23">
        <v>394.42790000000002</v>
      </c>
      <c r="G49" s="23">
        <v>36.31</v>
      </c>
      <c r="H49" s="23">
        <v>33.131599999999999</v>
      </c>
      <c r="I49" s="23">
        <v>29.873799999999999</v>
      </c>
      <c r="J49" s="23">
        <f>D49+G49</f>
        <v>347.43</v>
      </c>
      <c r="K49" s="23">
        <f>E49+H49</f>
        <v>360.60859999999997</v>
      </c>
      <c r="L49" s="107">
        <f>F49+I49</f>
        <v>424.30170000000004</v>
      </c>
      <c r="N49" s="21">
        <f>(L49-K49)/K49*100-12.3</f>
        <v>5.3626680561695075</v>
      </c>
    </row>
    <row r="50" spans="2:14" ht="18.75" customHeight="1" thickBot="1" x14ac:dyDescent="0.25">
      <c r="B50" s="131" t="s">
        <v>37</v>
      </c>
      <c r="C50" s="132"/>
      <c r="D50" s="7">
        <f>SUM(D5:D49)</f>
        <v>83314.242000000013</v>
      </c>
      <c r="E50" s="7">
        <f>SUM(E5:E49)</f>
        <v>106041.75460000001</v>
      </c>
      <c r="F50" s="7">
        <f>SUM(F5:F49)</f>
        <v>120057.43329999998</v>
      </c>
      <c r="G50" s="7">
        <f t="shared" ref="G50:J50" si="11">SUM(G5:G49)</f>
        <v>24817.081000000002</v>
      </c>
      <c r="H50" s="7">
        <f t="shared" si="11"/>
        <v>23793.344600000004</v>
      </c>
      <c r="I50" s="7">
        <f t="shared" si="11"/>
        <v>25746.907800000004</v>
      </c>
      <c r="J50" s="7">
        <f t="shared" si="11"/>
        <v>108131.323</v>
      </c>
      <c r="K50" s="7">
        <f>SUM(K5:K49)</f>
        <v>129835.09919999998</v>
      </c>
      <c r="L50" s="96">
        <f>SUM(L5:L49)</f>
        <v>145804.34109999999</v>
      </c>
      <c r="N50" s="21">
        <f t="shared" si="1"/>
        <v>-3.6608097727075517E-4</v>
      </c>
    </row>
    <row r="52" spans="2:14" hidden="1" x14ac:dyDescent="0.2">
      <c r="D52" s="21" t="e">
        <f>(D50-#REF!)/#REF!*100</f>
        <v>#REF!</v>
      </c>
      <c r="G52" s="21" t="e">
        <f>(G50-#REF!)/#REF!*100</f>
        <v>#REF!</v>
      </c>
      <c r="J52" s="21" t="e">
        <f>(J50-#REF!)/#REF!*100</f>
        <v>#REF!</v>
      </c>
    </row>
    <row r="53" spans="2:14" hidden="1" x14ac:dyDescent="0.2">
      <c r="E53" s="21">
        <f>SUM(E50-D50)/D50*100</f>
        <v>27.279264690423517</v>
      </c>
      <c r="F53" s="21">
        <f>SUM(F50-E50)/E50*100</f>
        <v>13.217132018296459</v>
      </c>
      <c r="H53" s="21">
        <f>SUM(H50-G50)/G50*100</f>
        <v>-4.1251281728096787</v>
      </c>
      <c r="I53" s="21">
        <f>SUM(I50-H50)/H50*100</f>
        <v>8.2105447251833628</v>
      </c>
      <c r="J53" s="21"/>
      <c r="K53" s="63">
        <f>SUM(K50-J50)/J50*100</f>
        <v>20.071682836988849</v>
      </c>
      <c r="L53" s="63">
        <f>SUM(L50-K50)/K50*100</f>
        <v>12.29963391902273</v>
      </c>
    </row>
    <row r="54" spans="2:14" x14ac:dyDescent="0.2">
      <c r="B54" s="140">
        <v>3</v>
      </c>
      <c r="C54" s="140"/>
      <c r="D54" s="140"/>
      <c r="E54" s="140"/>
      <c r="F54" s="140"/>
      <c r="G54" s="140"/>
      <c r="H54" s="140"/>
      <c r="I54" s="140"/>
      <c r="J54" s="140"/>
      <c r="K54" s="140"/>
      <c r="L54" s="140"/>
    </row>
  </sheetData>
  <autoFilter ref="D52:L53" xr:uid="{00000000-0001-0000-0200-000000000000}"/>
  <sortState xmlns:xlrd2="http://schemas.microsoft.com/office/spreadsheetml/2017/richdata2" ref="C5:D50">
    <sortCondition ref="C5:C50"/>
  </sortState>
  <mergeCells count="9">
    <mergeCell ref="B1:L1"/>
    <mergeCell ref="B54:L54"/>
    <mergeCell ref="G3:I3"/>
    <mergeCell ref="B2:K2"/>
    <mergeCell ref="B3:B4"/>
    <mergeCell ref="C3:C4"/>
    <mergeCell ref="D3:F3"/>
    <mergeCell ref="B50:C50"/>
    <mergeCell ref="J3:L3"/>
  </mergeCells>
  <phoneticPr fontId="0" type="noConversion"/>
  <printOptions horizontalCentered="1" verticalCentered="1"/>
  <pageMargins left="0.25" right="0.25" top="0.75" bottom="0.75" header="0.3" footer="0.3"/>
  <pageSetup paperSize="9" scale="7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P58"/>
  <sheetViews>
    <sheetView view="pageBreakPreview" zoomScaleNormal="100" zoomScaleSheetLayoutView="100" workbookViewId="0">
      <pane ySplit="4" topLeftCell="A35" activePane="bottomLeft" state="frozen"/>
      <selection pane="bottomLeft" activeCell="L41" sqref="L41"/>
    </sheetView>
  </sheetViews>
  <sheetFormatPr defaultColWidth="8.7109375" defaultRowHeight="15.75" x14ac:dyDescent="0.2"/>
  <cols>
    <col min="1" max="1" width="8.7109375" style="1"/>
    <col min="2" max="2" width="6.28515625" style="3" customWidth="1"/>
    <col min="3" max="3" width="45.5703125" style="3" customWidth="1"/>
    <col min="4" max="4" width="11.140625" style="21" customWidth="1"/>
    <col min="5" max="6" width="11" style="21" customWidth="1"/>
    <col min="7" max="7" width="10.140625" style="21" customWidth="1"/>
    <col min="8" max="9" width="10.28515625" style="21" customWidth="1"/>
    <col min="10" max="10" width="10.7109375" style="1" customWidth="1"/>
    <col min="11" max="11" width="10.5703125" style="1" customWidth="1"/>
    <col min="12" max="12" width="11" style="1" customWidth="1"/>
    <col min="13" max="16384" width="8.7109375" style="1"/>
  </cols>
  <sheetData>
    <row r="1" spans="2:16" ht="21" customHeight="1" x14ac:dyDescent="0.2">
      <c r="B1" s="124" t="s">
        <v>28</v>
      </c>
      <c r="C1" s="125"/>
      <c r="D1" s="125"/>
      <c r="E1" s="125"/>
      <c r="F1" s="125"/>
      <c r="G1" s="125"/>
      <c r="H1" s="125"/>
      <c r="I1" s="125"/>
      <c r="J1" s="125"/>
      <c r="K1" s="125"/>
      <c r="L1" s="126"/>
    </row>
    <row r="2" spans="2:16" ht="18" customHeight="1" x14ac:dyDescent="0.2">
      <c r="B2" s="127" t="s">
        <v>24</v>
      </c>
      <c r="C2" s="128"/>
      <c r="D2" s="128"/>
      <c r="E2" s="128"/>
      <c r="F2" s="128"/>
      <c r="G2" s="128"/>
      <c r="H2" s="128"/>
      <c r="I2" s="128"/>
      <c r="J2" s="128"/>
      <c r="K2" s="128"/>
      <c r="L2" s="111" t="s">
        <v>46</v>
      </c>
    </row>
    <row r="3" spans="2:16" ht="32.450000000000003" customHeight="1" x14ac:dyDescent="0.2">
      <c r="B3" s="136" t="s">
        <v>57</v>
      </c>
      <c r="C3" s="134" t="s">
        <v>10</v>
      </c>
      <c r="D3" s="134" t="s">
        <v>75</v>
      </c>
      <c r="E3" s="134"/>
      <c r="F3" s="134"/>
      <c r="G3" s="142" t="s">
        <v>15</v>
      </c>
      <c r="H3" s="142"/>
      <c r="I3" s="142"/>
      <c r="J3" s="142" t="s">
        <v>63</v>
      </c>
      <c r="K3" s="142"/>
      <c r="L3" s="143"/>
    </row>
    <row r="4" spans="2:16" ht="19.899999999999999" customHeight="1" thickBot="1" x14ac:dyDescent="0.25">
      <c r="B4" s="137"/>
      <c r="C4" s="135"/>
      <c r="D4" s="100">
        <v>2023</v>
      </c>
      <c r="E4" s="100">
        <v>2024</v>
      </c>
      <c r="F4" s="100">
        <v>2025</v>
      </c>
      <c r="G4" s="100">
        <v>2023</v>
      </c>
      <c r="H4" s="100">
        <v>2024</v>
      </c>
      <c r="I4" s="100">
        <v>2025</v>
      </c>
      <c r="J4" s="100">
        <v>2023</v>
      </c>
      <c r="K4" s="100">
        <v>2024</v>
      </c>
      <c r="L4" s="101">
        <v>2025</v>
      </c>
    </row>
    <row r="5" spans="2:16" ht="18" customHeight="1" x14ac:dyDescent="0.2">
      <c r="B5" s="16">
        <v>1</v>
      </c>
      <c r="C5" s="65" t="s">
        <v>79</v>
      </c>
      <c r="D5" s="27">
        <v>0.64</v>
      </c>
      <c r="E5" s="27">
        <v>0.66890000000000005</v>
      </c>
      <c r="F5" s="27">
        <v>0.36449999999999999</v>
      </c>
      <c r="G5" s="27">
        <v>16.420000000000002</v>
      </c>
      <c r="H5" s="27">
        <v>15.985799999999999</v>
      </c>
      <c r="I5" s="27">
        <v>21.395299999999999</v>
      </c>
      <c r="J5" s="27">
        <f t="shared" ref="J5:L8" si="0">G5+D5</f>
        <v>17.060000000000002</v>
      </c>
      <c r="K5" s="27">
        <f t="shared" si="0"/>
        <v>16.654699999999998</v>
      </c>
      <c r="L5" s="97">
        <f t="shared" si="0"/>
        <v>21.759799999999998</v>
      </c>
      <c r="N5" s="21"/>
      <c r="O5" s="21"/>
      <c r="P5" s="21"/>
    </row>
    <row r="6" spans="2:16" ht="18" customHeight="1" x14ac:dyDescent="0.2">
      <c r="B6" s="15">
        <v>2</v>
      </c>
      <c r="C6" s="64" t="s">
        <v>34</v>
      </c>
      <c r="D6" s="20">
        <v>130.44</v>
      </c>
      <c r="E6" s="20">
        <v>208.74299999999999</v>
      </c>
      <c r="F6" s="20">
        <v>298.77699999999999</v>
      </c>
      <c r="G6" s="5">
        <v>1617.19</v>
      </c>
      <c r="H6" s="5">
        <v>1909.365</v>
      </c>
      <c r="I6" s="5">
        <v>2232.6205</v>
      </c>
      <c r="J6" s="20">
        <f t="shared" si="0"/>
        <v>1747.63</v>
      </c>
      <c r="K6" s="20">
        <f t="shared" si="0"/>
        <v>2118.1080000000002</v>
      </c>
      <c r="L6" s="86">
        <f t="shared" si="0"/>
        <v>2531.3975</v>
      </c>
      <c r="N6" s="21"/>
      <c r="O6" s="21"/>
      <c r="P6" s="21"/>
    </row>
    <row r="7" spans="2:16" ht="18" customHeight="1" x14ac:dyDescent="0.2">
      <c r="B7" s="15">
        <v>3</v>
      </c>
      <c r="C7" s="64" t="s">
        <v>80</v>
      </c>
      <c r="D7" s="20">
        <v>278.43</v>
      </c>
      <c r="E7" s="20">
        <v>774.16899999999998</v>
      </c>
      <c r="F7" s="20">
        <v>1376.6365000000001</v>
      </c>
      <c r="G7" s="20">
        <v>141.07</v>
      </c>
      <c r="H7" s="20">
        <v>145.72499999999999</v>
      </c>
      <c r="I7" s="20">
        <v>196.30930000000001</v>
      </c>
      <c r="J7" s="20">
        <f t="shared" si="0"/>
        <v>419.5</v>
      </c>
      <c r="K7" s="20">
        <f t="shared" si="0"/>
        <v>919.89400000000001</v>
      </c>
      <c r="L7" s="114">
        <f t="shared" si="0"/>
        <v>1572.9458</v>
      </c>
      <c r="N7" s="21"/>
      <c r="O7" s="21"/>
      <c r="P7" s="21"/>
    </row>
    <row r="8" spans="2:16" ht="18" customHeight="1" x14ac:dyDescent="0.2">
      <c r="B8" s="15">
        <v>4</v>
      </c>
      <c r="C8" s="64" t="s">
        <v>0</v>
      </c>
      <c r="D8" s="5">
        <v>881.97</v>
      </c>
      <c r="E8" s="5">
        <v>1872.144</v>
      </c>
      <c r="F8" s="5">
        <v>2857.7788</v>
      </c>
      <c r="G8" s="20">
        <v>979.01</v>
      </c>
      <c r="H8" s="20">
        <v>1013.447</v>
      </c>
      <c r="I8" s="20">
        <v>1102.5726</v>
      </c>
      <c r="J8" s="20">
        <f t="shared" si="0"/>
        <v>1860.98</v>
      </c>
      <c r="K8" s="20">
        <f t="shared" si="0"/>
        <v>2885.5909999999999</v>
      </c>
      <c r="L8" s="86">
        <f t="shared" si="0"/>
        <v>3960.3514</v>
      </c>
      <c r="N8" s="21"/>
      <c r="O8" s="21"/>
      <c r="P8" s="21"/>
    </row>
    <row r="9" spans="2:16" ht="18" customHeight="1" x14ac:dyDescent="0.2">
      <c r="B9" s="15">
        <v>5</v>
      </c>
      <c r="C9" s="64" t="s">
        <v>1</v>
      </c>
      <c r="D9" s="20">
        <v>93.254000000000005</v>
      </c>
      <c r="E9" s="20">
        <v>115.00700000000001</v>
      </c>
      <c r="F9" s="20">
        <v>113.617</v>
      </c>
      <c r="G9" s="20">
        <v>43.63</v>
      </c>
      <c r="H9" s="20">
        <v>49.557000000000002</v>
      </c>
      <c r="I9" s="20">
        <v>47.603999999999999</v>
      </c>
      <c r="J9" s="20">
        <f t="shared" ref="J9:L14" si="1">D9+G9</f>
        <v>136.88400000000001</v>
      </c>
      <c r="K9" s="20">
        <f t="shared" si="1"/>
        <v>164.56400000000002</v>
      </c>
      <c r="L9" s="86">
        <f t="shared" si="1"/>
        <v>161.221</v>
      </c>
      <c r="N9" s="21"/>
      <c r="O9" s="21"/>
      <c r="P9" s="21"/>
    </row>
    <row r="10" spans="2:16" ht="18" customHeight="1" x14ac:dyDescent="0.2">
      <c r="B10" s="15">
        <v>6</v>
      </c>
      <c r="C10" s="64" t="s">
        <v>2</v>
      </c>
      <c r="D10" s="20">
        <v>13.769</v>
      </c>
      <c r="E10" s="20">
        <v>16.350000000000001</v>
      </c>
      <c r="F10" s="20">
        <v>17.789200000000001</v>
      </c>
      <c r="G10" s="20">
        <v>11.055</v>
      </c>
      <c r="H10" s="20">
        <v>11.676</v>
      </c>
      <c r="I10" s="20">
        <v>14.475899999999999</v>
      </c>
      <c r="J10" s="20">
        <f t="shared" si="1"/>
        <v>24.823999999999998</v>
      </c>
      <c r="K10" s="20">
        <f t="shared" si="1"/>
        <v>28.026000000000003</v>
      </c>
      <c r="L10" s="86">
        <f t="shared" si="1"/>
        <v>32.265100000000004</v>
      </c>
      <c r="N10" s="21"/>
      <c r="O10" s="21"/>
      <c r="P10" s="21"/>
    </row>
    <row r="11" spans="2:16" ht="18" customHeight="1" x14ac:dyDescent="0.2">
      <c r="B11" s="15">
        <v>7</v>
      </c>
      <c r="C11" s="64" t="s">
        <v>77</v>
      </c>
      <c r="D11" s="20">
        <v>1.94</v>
      </c>
      <c r="E11" s="20">
        <v>2.9761000000000002</v>
      </c>
      <c r="F11" s="20">
        <v>0.76519999999999999</v>
      </c>
      <c r="G11" s="20">
        <v>34.19</v>
      </c>
      <c r="H11" s="20">
        <v>39.273000000000003</v>
      </c>
      <c r="I11" s="20">
        <v>36.886200000000002</v>
      </c>
      <c r="J11" s="20">
        <f t="shared" si="1"/>
        <v>36.129999999999995</v>
      </c>
      <c r="K11" s="20">
        <f t="shared" si="1"/>
        <v>42.249100000000006</v>
      </c>
      <c r="L11" s="86">
        <f t="shared" si="1"/>
        <v>37.651400000000002</v>
      </c>
      <c r="N11" s="21"/>
      <c r="O11" s="21"/>
      <c r="P11" s="21"/>
    </row>
    <row r="12" spans="2:16" ht="18" customHeight="1" x14ac:dyDescent="0.2">
      <c r="B12" s="15">
        <v>8</v>
      </c>
      <c r="C12" s="64" t="s">
        <v>81</v>
      </c>
      <c r="D12" s="20">
        <v>45.46</v>
      </c>
      <c r="E12" s="20">
        <v>1.02</v>
      </c>
      <c r="F12" s="20">
        <v>1.177</v>
      </c>
      <c r="G12" s="20">
        <v>124.26</v>
      </c>
      <c r="H12" s="20">
        <v>77.819999999999993</v>
      </c>
      <c r="I12" s="20">
        <v>72.8078</v>
      </c>
      <c r="J12" s="20">
        <f t="shared" si="1"/>
        <v>169.72</v>
      </c>
      <c r="K12" s="20">
        <f t="shared" si="1"/>
        <v>78.839999999999989</v>
      </c>
      <c r="L12" s="86">
        <f t="shared" si="1"/>
        <v>73.984800000000007</v>
      </c>
      <c r="N12" s="21"/>
      <c r="O12" s="21"/>
      <c r="P12" s="21"/>
    </row>
    <row r="13" spans="2:16" ht="18" customHeight="1" x14ac:dyDescent="0.2">
      <c r="B13" s="15">
        <v>9</v>
      </c>
      <c r="C13" s="64" t="s">
        <v>3</v>
      </c>
      <c r="D13" s="20">
        <v>826.38</v>
      </c>
      <c r="E13" s="20">
        <v>1290.384</v>
      </c>
      <c r="F13" s="20">
        <v>1781.0558000000001</v>
      </c>
      <c r="G13" s="20">
        <v>594.74</v>
      </c>
      <c r="H13" s="20">
        <v>584.80700000000002</v>
      </c>
      <c r="I13" s="20">
        <v>748.00250000000005</v>
      </c>
      <c r="J13" s="20">
        <f t="shared" si="1"/>
        <v>1421.12</v>
      </c>
      <c r="K13" s="20">
        <f t="shared" si="1"/>
        <v>1875.191</v>
      </c>
      <c r="L13" s="86">
        <f t="shared" si="1"/>
        <v>2529.0583000000001</v>
      </c>
      <c r="N13" s="21"/>
      <c r="O13" s="21"/>
      <c r="P13" s="21"/>
    </row>
    <row r="14" spans="2:16" ht="18" customHeight="1" x14ac:dyDescent="0.2">
      <c r="B14" s="15">
        <v>10</v>
      </c>
      <c r="C14" s="64" t="s">
        <v>4</v>
      </c>
      <c r="D14" s="20">
        <v>1416.11</v>
      </c>
      <c r="E14" s="20">
        <v>1784.249</v>
      </c>
      <c r="F14" s="20">
        <v>2419.7118</v>
      </c>
      <c r="G14" s="20">
        <v>633.5</v>
      </c>
      <c r="H14" s="20">
        <v>652.52599999999995</v>
      </c>
      <c r="I14" s="20">
        <v>768.90599999999995</v>
      </c>
      <c r="J14" s="20">
        <f t="shared" si="1"/>
        <v>2049.6099999999997</v>
      </c>
      <c r="K14" s="20">
        <f t="shared" si="1"/>
        <v>2436.7750000000001</v>
      </c>
      <c r="L14" s="86">
        <f t="shared" si="1"/>
        <v>3188.6178</v>
      </c>
      <c r="N14" s="21"/>
      <c r="O14" s="21"/>
      <c r="P14" s="21"/>
    </row>
    <row r="15" spans="2:16" ht="18" customHeight="1" x14ac:dyDescent="0.2">
      <c r="B15" s="15">
        <v>11</v>
      </c>
      <c r="C15" s="64" t="s">
        <v>47</v>
      </c>
      <c r="D15" s="5">
        <v>3401.48</v>
      </c>
      <c r="E15" s="5">
        <v>4554.57</v>
      </c>
      <c r="F15" s="5">
        <v>5273.32</v>
      </c>
      <c r="G15" s="5">
        <v>5336.4</v>
      </c>
      <c r="H15" s="5">
        <v>4268.17</v>
      </c>
      <c r="I15" s="5">
        <v>6026.9970000000003</v>
      </c>
      <c r="J15" s="20">
        <f>G15+D15</f>
        <v>8737.8799999999992</v>
      </c>
      <c r="K15" s="5">
        <f>E15+H15</f>
        <v>8822.74</v>
      </c>
      <c r="L15" s="87">
        <f>F15+I15</f>
        <v>11300.316999999999</v>
      </c>
      <c r="N15" s="21"/>
      <c r="O15" s="21"/>
      <c r="P15" s="21"/>
    </row>
    <row r="16" spans="2:16" ht="18" customHeight="1" x14ac:dyDescent="0.2">
      <c r="B16" s="15">
        <v>12</v>
      </c>
      <c r="C16" s="64" t="s">
        <v>65</v>
      </c>
      <c r="D16" s="20">
        <v>36.28</v>
      </c>
      <c r="E16" s="20">
        <v>2.4700000000000002</v>
      </c>
      <c r="F16" s="20">
        <v>0</v>
      </c>
      <c r="G16" s="20">
        <v>78.64</v>
      </c>
      <c r="H16" s="20">
        <v>51.777999999999999</v>
      </c>
      <c r="I16" s="20">
        <v>20.872</v>
      </c>
      <c r="J16" s="20">
        <f>G16+D16</f>
        <v>114.92</v>
      </c>
      <c r="K16" s="20">
        <f>H16+E16</f>
        <v>54.247999999999998</v>
      </c>
      <c r="L16" s="86">
        <f>I16+F16</f>
        <v>20.872</v>
      </c>
      <c r="N16" s="21"/>
      <c r="O16" s="21"/>
      <c r="P16" s="21"/>
    </row>
    <row r="17" spans="2:16" ht="18" customHeight="1" x14ac:dyDescent="0.2">
      <c r="B17" s="15">
        <v>13</v>
      </c>
      <c r="C17" s="64" t="s">
        <v>41</v>
      </c>
      <c r="D17" s="20">
        <v>385.42</v>
      </c>
      <c r="E17" s="20">
        <v>611.91</v>
      </c>
      <c r="F17" s="20">
        <v>805.89300000000003</v>
      </c>
      <c r="G17" s="20">
        <v>192.29</v>
      </c>
      <c r="H17" s="20">
        <v>230.81899999999999</v>
      </c>
      <c r="I17" s="20">
        <v>240.762</v>
      </c>
      <c r="J17" s="20">
        <f>G17+D17</f>
        <v>577.71</v>
      </c>
      <c r="K17" s="20">
        <f>H17+E17</f>
        <v>842.72899999999993</v>
      </c>
      <c r="L17" s="114">
        <f>I17+F17</f>
        <v>1046.655</v>
      </c>
      <c r="N17" s="21"/>
      <c r="O17" s="21"/>
      <c r="P17" s="21"/>
    </row>
    <row r="18" spans="2:16" ht="18" customHeight="1" x14ac:dyDescent="0.2">
      <c r="B18" s="15">
        <v>14</v>
      </c>
      <c r="C18" s="64" t="s">
        <v>104</v>
      </c>
      <c r="D18" s="20">
        <v>760.58699999999999</v>
      </c>
      <c r="E18" s="20">
        <v>420.399</v>
      </c>
      <c r="F18" s="20">
        <v>79.772599999999997</v>
      </c>
      <c r="G18" s="20">
        <v>88.44</v>
      </c>
      <c r="H18" s="20">
        <v>104.483</v>
      </c>
      <c r="I18" s="20">
        <v>57.929000000000002</v>
      </c>
      <c r="J18" s="20">
        <f>D18+G18</f>
        <v>849.02700000000004</v>
      </c>
      <c r="K18" s="20">
        <f>E18+H18</f>
        <v>524.88200000000006</v>
      </c>
      <c r="L18" s="86">
        <f>F18+I18</f>
        <v>137.70159999999998</v>
      </c>
      <c r="N18" s="21"/>
      <c r="O18" s="21"/>
      <c r="P18" s="21"/>
    </row>
    <row r="19" spans="2:16" ht="18" customHeight="1" x14ac:dyDescent="0.2">
      <c r="B19" s="15">
        <v>15</v>
      </c>
      <c r="C19" s="64" t="s">
        <v>98</v>
      </c>
      <c r="D19" s="20">
        <v>93.65</v>
      </c>
      <c r="E19" s="20">
        <v>135.99</v>
      </c>
      <c r="F19" s="20">
        <v>167.13659999999999</v>
      </c>
      <c r="G19" s="20">
        <v>62.45</v>
      </c>
      <c r="H19" s="20">
        <v>77.02</v>
      </c>
      <c r="I19" s="20">
        <v>90.102500000000006</v>
      </c>
      <c r="J19" s="20">
        <f t="shared" ref="J19:L21" si="2">G19+D19</f>
        <v>156.10000000000002</v>
      </c>
      <c r="K19" s="20">
        <f t="shared" si="2"/>
        <v>213.01</v>
      </c>
      <c r="L19" s="86">
        <f t="shared" si="2"/>
        <v>257.23910000000001</v>
      </c>
      <c r="N19" s="21"/>
      <c r="O19" s="21"/>
      <c r="P19" s="21"/>
    </row>
    <row r="20" spans="2:16" ht="18" customHeight="1" x14ac:dyDescent="0.2">
      <c r="B20" s="15">
        <v>16</v>
      </c>
      <c r="C20" s="64" t="s">
        <v>53</v>
      </c>
      <c r="D20" s="5">
        <v>3353.45</v>
      </c>
      <c r="E20" s="5">
        <v>5119.692</v>
      </c>
      <c r="F20" s="5">
        <v>6177.01</v>
      </c>
      <c r="G20" s="5">
        <v>2966.88</v>
      </c>
      <c r="H20" s="5">
        <v>3552.62</v>
      </c>
      <c r="I20" s="5">
        <v>3857.1</v>
      </c>
      <c r="J20" s="20">
        <f t="shared" si="2"/>
        <v>6320.33</v>
      </c>
      <c r="K20" s="20">
        <f t="shared" si="2"/>
        <v>8672.3119999999999</v>
      </c>
      <c r="L20" s="86">
        <f t="shared" si="2"/>
        <v>10034.11</v>
      </c>
      <c r="N20" s="21"/>
      <c r="O20" s="21"/>
      <c r="P20" s="21"/>
    </row>
    <row r="21" spans="2:16" ht="18" customHeight="1" x14ac:dyDescent="0.2">
      <c r="B21" s="15">
        <v>17</v>
      </c>
      <c r="C21" s="64" t="s">
        <v>5</v>
      </c>
      <c r="D21" s="5">
        <v>3416.69</v>
      </c>
      <c r="E21" s="5">
        <v>3998.14</v>
      </c>
      <c r="F21" s="5">
        <v>4145.6211000000003</v>
      </c>
      <c r="G21" s="5">
        <v>2820.99</v>
      </c>
      <c r="H21" s="5">
        <v>3213.3209999999999</v>
      </c>
      <c r="I21" s="5">
        <v>3182.1963000000001</v>
      </c>
      <c r="J21" s="20">
        <f t="shared" si="2"/>
        <v>6237.68</v>
      </c>
      <c r="K21" s="20">
        <f t="shared" si="2"/>
        <v>7211.4609999999993</v>
      </c>
      <c r="L21" s="86">
        <f t="shared" si="2"/>
        <v>7327.8173999999999</v>
      </c>
      <c r="N21" s="21"/>
      <c r="O21" s="21"/>
      <c r="P21" s="21"/>
    </row>
    <row r="22" spans="2:16" ht="18" customHeight="1" x14ac:dyDescent="0.2">
      <c r="B22" s="15">
        <v>18</v>
      </c>
      <c r="C22" s="64" t="s">
        <v>60</v>
      </c>
      <c r="D22" s="20">
        <v>29.25</v>
      </c>
      <c r="E22" s="20">
        <v>42.47</v>
      </c>
      <c r="F22" s="20">
        <v>59.9</v>
      </c>
      <c r="G22" s="20">
        <v>41.5</v>
      </c>
      <c r="H22" s="20">
        <v>36.61</v>
      </c>
      <c r="I22" s="20">
        <v>36.204999999999998</v>
      </c>
      <c r="J22" s="20">
        <f>G22+D22</f>
        <v>70.75</v>
      </c>
      <c r="K22" s="20">
        <f t="shared" ref="K22:L25" si="3">E22+H22</f>
        <v>79.08</v>
      </c>
      <c r="L22" s="86">
        <f t="shared" si="3"/>
        <v>96.10499999999999</v>
      </c>
      <c r="N22" s="21"/>
      <c r="O22" s="21"/>
      <c r="P22" s="21"/>
    </row>
    <row r="23" spans="2:16" ht="18" customHeight="1" x14ac:dyDescent="0.2">
      <c r="B23" s="15">
        <v>19</v>
      </c>
      <c r="C23" s="64" t="s">
        <v>99</v>
      </c>
      <c r="D23" s="20">
        <v>137.41999999999999</v>
      </c>
      <c r="E23" s="20">
        <v>332.07</v>
      </c>
      <c r="F23" s="20">
        <v>441.88560000000001</v>
      </c>
      <c r="G23" s="20">
        <v>105.71</v>
      </c>
      <c r="H23" s="20">
        <v>133.28</v>
      </c>
      <c r="I23" s="20">
        <v>158.04</v>
      </c>
      <c r="J23" s="20">
        <f>G23+D23</f>
        <v>243.13</v>
      </c>
      <c r="K23" s="20">
        <f t="shared" si="3"/>
        <v>465.35</v>
      </c>
      <c r="L23" s="86">
        <f t="shared" si="3"/>
        <v>599.92560000000003</v>
      </c>
      <c r="N23" s="21"/>
      <c r="O23" s="21"/>
      <c r="P23" s="21"/>
    </row>
    <row r="24" spans="2:16" ht="18" customHeight="1" x14ac:dyDescent="0.2">
      <c r="B24" s="15">
        <v>20</v>
      </c>
      <c r="C24" s="64" t="s">
        <v>66</v>
      </c>
      <c r="D24" s="20">
        <v>303.8</v>
      </c>
      <c r="E24" s="20">
        <v>345.89</v>
      </c>
      <c r="F24" s="20">
        <v>311</v>
      </c>
      <c r="G24" s="20">
        <v>88.17</v>
      </c>
      <c r="H24" s="20">
        <v>91.308000000000007</v>
      </c>
      <c r="I24" s="20">
        <v>105.09</v>
      </c>
      <c r="J24" s="20">
        <f>D24+G24</f>
        <v>391.97</v>
      </c>
      <c r="K24" s="20">
        <f t="shared" si="3"/>
        <v>437.19799999999998</v>
      </c>
      <c r="L24" s="86">
        <f t="shared" si="3"/>
        <v>416.09000000000003</v>
      </c>
      <c r="N24" s="21"/>
      <c r="O24" s="21"/>
      <c r="P24" s="21"/>
    </row>
    <row r="25" spans="2:16" ht="18" customHeight="1" x14ac:dyDescent="0.2">
      <c r="B25" s="15">
        <v>21</v>
      </c>
      <c r="C25" s="64" t="s">
        <v>39</v>
      </c>
      <c r="D25" s="20">
        <v>0</v>
      </c>
      <c r="E25" s="20">
        <v>0</v>
      </c>
      <c r="F25" s="20">
        <v>0</v>
      </c>
      <c r="G25" s="20">
        <v>25.94</v>
      </c>
      <c r="H25" s="20">
        <v>34.067999999999998</v>
      </c>
      <c r="I25" s="20">
        <v>27.761099999999999</v>
      </c>
      <c r="J25" s="20">
        <f>D25+G25</f>
        <v>25.94</v>
      </c>
      <c r="K25" s="20">
        <f t="shared" si="3"/>
        <v>34.067999999999998</v>
      </c>
      <c r="L25" s="86">
        <f t="shared" si="3"/>
        <v>27.761099999999999</v>
      </c>
      <c r="N25" s="21"/>
      <c r="O25" s="21"/>
      <c r="P25" s="21"/>
    </row>
    <row r="26" spans="2:16" ht="18" customHeight="1" x14ac:dyDescent="0.2">
      <c r="B26" s="15">
        <v>22</v>
      </c>
      <c r="C26" s="64" t="s">
        <v>85</v>
      </c>
      <c r="D26" s="5">
        <v>6113.65</v>
      </c>
      <c r="E26" s="5">
        <v>8650.2330000000002</v>
      </c>
      <c r="F26" s="5">
        <v>10562.568499999999</v>
      </c>
      <c r="G26" s="5">
        <v>4750.79</v>
      </c>
      <c r="H26" s="5">
        <v>5694.5290000000005</v>
      </c>
      <c r="I26" s="5">
        <v>6525.2781999999997</v>
      </c>
      <c r="J26" s="20">
        <f t="shared" ref="J26:L28" si="4">G26+D26</f>
        <v>10864.439999999999</v>
      </c>
      <c r="K26" s="20">
        <f t="shared" si="4"/>
        <v>14344.762000000001</v>
      </c>
      <c r="L26" s="86">
        <f t="shared" si="4"/>
        <v>17087.846699999998</v>
      </c>
      <c r="N26" s="21"/>
      <c r="O26" s="21"/>
      <c r="P26" s="21"/>
    </row>
    <row r="27" spans="2:16" ht="18" customHeight="1" x14ac:dyDescent="0.2">
      <c r="B27" s="15">
        <v>23</v>
      </c>
      <c r="C27" s="64" t="s">
        <v>59</v>
      </c>
      <c r="D27" s="20">
        <v>5.4</v>
      </c>
      <c r="E27" s="20">
        <v>11.38</v>
      </c>
      <c r="F27" s="20">
        <v>12.3879</v>
      </c>
      <c r="G27" s="20">
        <v>18.28</v>
      </c>
      <c r="H27" s="20">
        <v>20.716999999999999</v>
      </c>
      <c r="I27" s="20">
        <v>22.3066</v>
      </c>
      <c r="J27" s="20">
        <f t="shared" si="4"/>
        <v>23.68</v>
      </c>
      <c r="K27" s="20">
        <f t="shared" si="4"/>
        <v>32.097000000000001</v>
      </c>
      <c r="L27" s="86">
        <f t="shared" si="4"/>
        <v>34.694499999999998</v>
      </c>
      <c r="N27" s="21"/>
      <c r="O27" s="21"/>
      <c r="P27" s="21"/>
    </row>
    <row r="28" spans="2:16" ht="18" customHeight="1" x14ac:dyDescent="0.2">
      <c r="B28" s="15">
        <v>24</v>
      </c>
      <c r="C28" s="64" t="s">
        <v>86</v>
      </c>
      <c r="D28" s="20">
        <v>147.28</v>
      </c>
      <c r="E28" s="20">
        <v>223.518</v>
      </c>
      <c r="F28" s="20">
        <v>228.89080000000001</v>
      </c>
      <c r="G28" s="20">
        <v>55.66</v>
      </c>
      <c r="H28" s="20">
        <v>51.235999999999997</v>
      </c>
      <c r="I28" s="20">
        <v>61.169699999999999</v>
      </c>
      <c r="J28" s="20">
        <f t="shared" si="4"/>
        <v>202.94</v>
      </c>
      <c r="K28" s="20">
        <f t="shared" si="4"/>
        <v>274.75400000000002</v>
      </c>
      <c r="L28" s="86">
        <f t="shared" si="4"/>
        <v>290.06049999999999</v>
      </c>
      <c r="N28" s="21"/>
      <c r="O28" s="21"/>
      <c r="P28" s="21"/>
    </row>
    <row r="29" spans="2:16" ht="18" customHeight="1" x14ac:dyDescent="0.2">
      <c r="B29" s="15">
        <v>25</v>
      </c>
      <c r="C29" s="64" t="s">
        <v>6</v>
      </c>
      <c r="D29" s="20">
        <v>1290.3</v>
      </c>
      <c r="E29" s="20">
        <v>2469.0410000000002</v>
      </c>
      <c r="F29" s="20">
        <v>3076.3588</v>
      </c>
      <c r="G29" s="20">
        <v>831.27</v>
      </c>
      <c r="H29" s="20">
        <v>1005.235</v>
      </c>
      <c r="I29" s="20">
        <v>1098.6945000000001</v>
      </c>
      <c r="J29" s="20">
        <f t="shared" ref="J29:L31" si="5">D29+G29</f>
        <v>2121.5699999999997</v>
      </c>
      <c r="K29" s="20">
        <f t="shared" si="5"/>
        <v>3474.2760000000003</v>
      </c>
      <c r="L29" s="86">
        <f t="shared" si="5"/>
        <v>4175.0532999999996</v>
      </c>
      <c r="N29" s="21"/>
      <c r="O29" s="21"/>
      <c r="P29" s="21"/>
    </row>
    <row r="30" spans="2:16" ht="18" customHeight="1" x14ac:dyDescent="0.2">
      <c r="B30" s="15">
        <v>26</v>
      </c>
      <c r="C30" s="64" t="s">
        <v>35</v>
      </c>
      <c r="D30" s="20">
        <v>0</v>
      </c>
      <c r="E30" s="20">
        <v>0</v>
      </c>
      <c r="F30" s="20">
        <v>0</v>
      </c>
      <c r="G30" s="20">
        <v>10.18</v>
      </c>
      <c r="H30" s="20">
        <v>18.507000000000001</v>
      </c>
      <c r="I30" s="20">
        <v>38.521999999999998</v>
      </c>
      <c r="J30" s="20">
        <f t="shared" si="5"/>
        <v>10.18</v>
      </c>
      <c r="K30" s="20">
        <f t="shared" si="5"/>
        <v>18.507000000000001</v>
      </c>
      <c r="L30" s="86">
        <f t="shared" si="5"/>
        <v>38.521999999999998</v>
      </c>
      <c r="N30" s="21"/>
      <c r="O30" s="21"/>
      <c r="P30" s="21"/>
    </row>
    <row r="31" spans="2:16" ht="18" customHeight="1" x14ac:dyDescent="0.2">
      <c r="B31" s="15">
        <v>27</v>
      </c>
      <c r="C31" s="64" t="s">
        <v>72</v>
      </c>
      <c r="D31" s="20">
        <v>78.400000000000006</v>
      </c>
      <c r="E31" s="20">
        <v>159.04499999999999</v>
      </c>
      <c r="F31" s="20">
        <v>182.77199999999999</v>
      </c>
      <c r="G31" s="20">
        <v>38.76</v>
      </c>
      <c r="H31" s="20">
        <v>42.716000000000001</v>
      </c>
      <c r="I31" s="20">
        <v>47.692900000000002</v>
      </c>
      <c r="J31" s="20">
        <f t="shared" si="5"/>
        <v>117.16</v>
      </c>
      <c r="K31" s="20">
        <f t="shared" si="5"/>
        <v>201.761</v>
      </c>
      <c r="L31" s="86">
        <f t="shared" si="5"/>
        <v>230.4649</v>
      </c>
      <c r="N31" s="21"/>
      <c r="O31" s="21"/>
      <c r="P31" s="21"/>
    </row>
    <row r="32" spans="2:16" ht="18" customHeight="1" x14ac:dyDescent="0.2">
      <c r="B32" s="15">
        <v>28</v>
      </c>
      <c r="C32" s="64" t="s">
        <v>78</v>
      </c>
      <c r="D32" s="20">
        <v>104.1918</v>
      </c>
      <c r="E32" s="20">
        <v>180.905</v>
      </c>
      <c r="F32" s="20">
        <v>192.17449999999999</v>
      </c>
      <c r="G32" s="20">
        <v>27.577000000000002</v>
      </c>
      <c r="H32" s="20">
        <v>30.361999999999998</v>
      </c>
      <c r="I32" s="20">
        <v>52.043999999999997</v>
      </c>
      <c r="J32" s="20">
        <f>G32+D32</f>
        <v>131.7688</v>
      </c>
      <c r="K32" s="20">
        <f>H32+E32</f>
        <v>211.267</v>
      </c>
      <c r="L32" s="86">
        <f>I32+F32</f>
        <v>244.21850000000001</v>
      </c>
      <c r="N32" s="21"/>
      <c r="O32" s="21"/>
      <c r="P32" s="21"/>
    </row>
    <row r="33" spans="2:16" ht="18" customHeight="1" x14ac:dyDescent="0.2">
      <c r="B33" s="15">
        <v>29</v>
      </c>
      <c r="C33" s="64" t="s">
        <v>49</v>
      </c>
      <c r="D33" s="20">
        <v>0</v>
      </c>
      <c r="E33" s="20" t="s">
        <v>105</v>
      </c>
      <c r="F33" s="20" t="s">
        <v>105</v>
      </c>
      <c r="G33" s="20">
        <v>3.96</v>
      </c>
      <c r="H33" s="20" t="s">
        <v>105</v>
      </c>
      <c r="I33" s="20" t="s">
        <v>105</v>
      </c>
      <c r="J33" s="20">
        <f>G33+D33</f>
        <v>3.96</v>
      </c>
      <c r="K33" s="20" t="s">
        <v>105</v>
      </c>
      <c r="L33" s="86" t="s">
        <v>105</v>
      </c>
      <c r="N33" s="21"/>
      <c r="O33" s="21"/>
      <c r="P33" s="21"/>
    </row>
    <row r="34" spans="2:16" ht="18" customHeight="1" x14ac:dyDescent="0.2">
      <c r="B34" s="15">
        <v>30</v>
      </c>
      <c r="C34" s="64" t="s">
        <v>7</v>
      </c>
      <c r="D34" s="20">
        <v>2.4300000000000002</v>
      </c>
      <c r="E34" s="20">
        <v>5.24</v>
      </c>
      <c r="F34" s="20">
        <v>47.450499999999998</v>
      </c>
      <c r="G34" s="20">
        <v>33.799999999999997</v>
      </c>
      <c r="H34" s="20">
        <v>44.84</v>
      </c>
      <c r="I34" s="20">
        <v>64.193700000000007</v>
      </c>
      <c r="J34" s="20">
        <f>G34+D34</f>
        <v>36.229999999999997</v>
      </c>
      <c r="K34" s="20">
        <f t="shared" ref="K34:L36" si="6">H34+E34</f>
        <v>50.080000000000005</v>
      </c>
      <c r="L34" s="86">
        <f t="shared" si="6"/>
        <v>111.64420000000001</v>
      </c>
      <c r="N34" s="21"/>
      <c r="O34" s="21"/>
      <c r="P34" s="21"/>
    </row>
    <row r="35" spans="2:16" ht="18" customHeight="1" x14ac:dyDescent="0.2">
      <c r="B35" s="15">
        <v>31</v>
      </c>
      <c r="C35" s="64" t="s">
        <v>54</v>
      </c>
      <c r="D35" s="20">
        <v>861.57</v>
      </c>
      <c r="E35" s="20">
        <v>1273.9480000000001</v>
      </c>
      <c r="F35" s="20">
        <v>2098.1251999999999</v>
      </c>
      <c r="G35" s="20">
        <v>413.61</v>
      </c>
      <c r="H35" s="20">
        <v>556.70000000000005</v>
      </c>
      <c r="I35" s="20">
        <v>503.26010000000002</v>
      </c>
      <c r="J35" s="5">
        <f>G35+D35</f>
        <v>1275.18</v>
      </c>
      <c r="K35" s="5">
        <f t="shared" si="6"/>
        <v>1830.6480000000001</v>
      </c>
      <c r="L35" s="87">
        <f t="shared" si="6"/>
        <v>2601.3852999999999</v>
      </c>
      <c r="N35" s="21"/>
      <c r="O35" s="21"/>
      <c r="P35" s="21"/>
    </row>
    <row r="36" spans="2:16" ht="18" customHeight="1" x14ac:dyDescent="0.2">
      <c r="B36" s="15">
        <v>32</v>
      </c>
      <c r="C36" s="64" t="s">
        <v>88</v>
      </c>
      <c r="D36" s="5">
        <v>930.44100000000003</v>
      </c>
      <c r="E36" s="5">
        <v>1334.7460000000001</v>
      </c>
      <c r="F36" s="5">
        <v>1457.3989999999999</v>
      </c>
      <c r="G36" s="20">
        <v>462.83</v>
      </c>
      <c r="H36" s="20">
        <v>911.346</v>
      </c>
      <c r="I36" s="20">
        <v>807.49689000000001</v>
      </c>
      <c r="J36" s="20">
        <f>G36+D36</f>
        <v>1393.271</v>
      </c>
      <c r="K36" s="20">
        <f t="shared" si="6"/>
        <v>2246.0920000000001</v>
      </c>
      <c r="L36" s="86">
        <f t="shared" si="6"/>
        <v>2264.8958899999998</v>
      </c>
      <c r="N36" s="21"/>
      <c r="O36" s="21"/>
      <c r="P36" s="21"/>
    </row>
    <row r="37" spans="2:16" ht="18" customHeight="1" x14ac:dyDescent="0.2">
      <c r="B37" s="15">
        <v>33</v>
      </c>
      <c r="C37" s="64" t="s">
        <v>83</v>
      </c>
      <c r="D37" s="20">
        <v>101.526</v>
      </c>
      <c r="E37" s="20">
        <v>165.97</v>
      </c>
      <c r="F37" s="20">
        <v>167.86600000000001</v>
      </c>
      <c r="G37" s="20">
        <v>78.159000000000006</v>
      </c>
      <c r="H37" s="20">
        <v>31.07</v>
      </c>
      <c r="I37" s="20">
        <v>-72.605999999999995</v>
      </c>
      <c r="J37" s="20">
        <f>D37+G37</f>
        <v>179.685</v>
      </c>
      <c r="K37" s="20">
        <f>E37+H37</f>
        <v>197.04</v>
      </c>
      <c r="L37" s="86">
        <f>F37+I37</f>
        <v>95.260000000000019</v>
      </c>
      <c r="N37" s="21"/>
      <c r="O37" s="21"/>
      <c r="P37" s="21"/>
    </row>
    <row r="38" spans="2:16" ht="18" customHeight="1" x14ac:dyDescent="0.2">
      <c r="B38" s="15">
        <v>34</v>
      </c>
      <c r="C38" s="64" t="s">
        <v>114</v>
      </c>
      <c r="D38" s="20" t="s">
        <v>105</v>
      </c>
      <c r="E38" s="20">
        <v>3.0000000000000001E-3</v>
      </c>
      <c r="F38" s="20">
        <v>0.43059999999999998</v>
      </c>
      <c r="G38" s="20" t="s">
        <v>105</v>
      </c>
      <c r="H38" s="20">
        <v>18.87</v>
      </c>
      <c r="I38" s="20">
        <v>22.233499999999999</v>
      </c>
      <c r="J38" s="20" t="s">
        <v>105</v>
      </c>
      <c r="K38" s="20">
        <f>E38+H38</f>
        <v>18.873000000000001</v>
      </c>
      <c r="L38" s="86">
        <f>F38+I38</f>
        <v>22.664099999999998</v>
      </c>
      <c r="N38" s="21"/>
      <c r="O38" s="21"/>
      <c r="P38" s="21"/>
    </row>
    <row r="39" spans="2:16" ht="18" customHeight="1" x14ac:dyDescent="0.2">
      <c r="B39" s="15">
        <v>35</v>
      </c>
      <c r="C39" s="64" t="s">
        <v>61</v>
      </c>
      <c r="D39" s="20">
        <v>2.2200000000000002</v>
      </c>
      <c r="E39" s="20">
        <v>3.4</v>
      </c>
      <c r="F39" s="20">
        <v>7.4889999999999999</v>
      </c>
      <c r="G39" s="20">
        <v>17.27</v>
      </c>
      <c r="H39" s="20">
        <v>20.69</v>
      </c>
      <c r="I39" s="20">
        <v>23.841999999999999</v>
      </c>
      <c r="J39" s="20">
        <f>G39+D39</f>
        <v>19.489999999999998</v>
      </c>
      <c r="K39" s="20">
        <f>H39+E39</f>
        <v>24.09</v>
      </c>
      <c r="L39" s="86">
        <f>I39+F39</f>
        <v>31.331</v>
      </c>
      <c r="N39" s="21"/>
      <c r="O39" s="21"/>
      <c r="P39" s="21"/>
    </row>
    <row r="40" spans="2:16" ht="18" customHeight="1" x14ac:dyDescent="0.2">
      <c r="B40" s="15">
        <v>36</v>
      </c>
      <c r="C40" s="64" t="s">
        <v>68</v>
      </c>
      <c r="D40" s="20">
        <v>64.150000000000006</v>
      </c>
      <c r="E40" s="20">
        <v>70.61</v>
      </c>
      <c r="F40" s="20">
        <v>110.02</v>
      </c>
      <c r="G40" s="20">
        <v>34.74</v>
      </c>
      <c r="H40" s="20">
        <v>40.19</v>
      </c>
      <c r="I40" s="20">
        <v>45.021000000000001</v>
      </c>
      <c r="J40" s="20">
        <f t="shared" ref="J40:J49" si="7">D40+G40</f>
        <v>98.890000000000015</v>
      </c>
      <c r="K40" s="20">
        <f>H40+E40</f>
        <v>110.8</v>
      </c>
      <c r="L40" s="86">
        <f>I40+F40</f>
        <v>155.041</v>
      </c>
      <c r="N40" s="21"/>
      <c r="O40" s="21"/>
      <c r="P40" s="21"/>
    </row>
    <row r="41" spans="2:16" ht="18" customHeight="1" x14ac:dyDescent="0.2">
      <c r="B41" s="15">
        <v>37</v>
      </c>
      <c r="C41" s="64" t="s">
        <v>44</v>
      </c>
      <c r="D41" s="20">
        <v>1.54</v>
      </c>
      <c r="E41" s="20">
        <v>0.67530000000000001</v>
      </c>
      <c r="F41" s="20" t="s">
        <v>124</v>
      </c>
      <c r="G41" s="20">
        <v>50.21</v>
      </c>
      <c r="H41" s="20">
        <v>110.8526</v>
      </c>
      <c r="I41" s="20" t="s">
        <v>124</v>
      </c>
      <c r="J41" s="20">
        <f t="shared" si="7"/>
        <v>51.75</v>
      </c>
      <c r="K41" s="20">
        <f t="shared" ref="K41:L45" si="8">E41+H41</f>
        <v>111.52789999999999</v>
      </c>
      <c r="L41" s="20" t="s">
        <v>124</v>
      </c>
      <c r="N41" s="21"/>
      <c r="O41" s="21"/>
      <c r="P41" s="21"/>
    </row>
    <row r="42" spans="2:16" ht="18" customHeight="1" x14ac:dyDescent="0.2">
      <c r="B42" s="15">
        <v>38</v>
      </c>
      <c r="C42" s="64" t="s">
        <v>73</v>
      </c>
      <c r="D42" s="20">
        <v>453.39</v>
      </c>
      <c r="E42" s="20">
        <v>527.54499999999996</v>
      </c>
      <c r="F42" s="20">
        <v>545.0702</v>
      </c>
      <c r="G42" s="20">
        <v>375.98</v>
      </c>
      <c r="H42" s="20">
        <v>428.77699999999999</v>
      </c>
      <c r="I42" s="20">
        <v>434.07190000000003</v>
      </c>
      <c r="J42" s="20">
        <f t="shared" si="7"/>
        <v>829.37</v>
      </c>
      <c r="K42" s="20">
        <f t="shared" si="8"/>
        <v>956.32199999999989</v>
      </c>
      <c r="L42" s="86">
        <f t="shared" si="8"/>
        <v>979.14210000000003</v>
      </c>
      <c r="N42" s="21"/>
      <c r="O42" s="21"/>
      <c r="P42" s="21"/>
    </row>
    <row r="43" spans="2:16" ht="18" customHeight="1" x14ac:dyDescent="0.2">
      <c r="B43" s="15">
        <v>39</v>
      </c>
      <c r="C43" s="64" t="s">
        <v>50</v>
      </c>
      <c r="D43" s="20">
        <v>525.53</v>
      </c>
      <c r="E43" s="20">
        <v>636.56399999999996</v>
      </c>
      <c r="F43" s="20">
        <v>736.40020000000004</v>
      </c>
      <c r="G43" s="20">
        <v>158.91999999999999</v>
      </c>
      <c r="H43" s="20">
        <v>189.89099999999999</v>
      </c>
      <c r="I43" s="20">
        <v>188.9109</v>
      </c>
      <c r="J43" s="20">
        <f t="shared" si="7"/>
        <v>684.44999999999993</v>
      </c>
      <c r="K43" s="20">
        <f t="shared" si="8"/>
        <v>826.45499999999993</v>
      </c>
      <c r="L43" s="86">
        <f t="shared" si="8"/>
        <v>925.31110000000001</v>
      </c>
      <c r="N43" s="21"/>
      <c r="O43" s="21"/>
      <c r="P43" s="21"/>
    </row>
    <row r="44" spans="2:16" ht="18" customHeight="1" x14ac:dyDescent="0.2">
      <c r="B44" s="15">
        <v>40</v>
      </c>
      <c r="C44" s="64" t="s">
        <v>8</v>
      </c>
      <c r="D44" s="20">
        <v>154.55000000000001</v>
      </c>
      <c r="E44" s="20">
        <v>237.17099999999999</v>
      </c>
      <c r="F44" s="20">
        <v>194.56530000000001</v>
      </c>
      <c r="G44" s="20">
        <v>173.94</v>
      </c>
      <c r="H44" s="20">
        <v>196.27699999999999</v>
      </c>
      <c r="I44" s="20">
        <v>189.7944</v>
      </c>
      <c r="J44" s="20">
        <f t="shared" si="7"/>
        <v>328.49</v>
      </c>
      <c r="K44" s="20">
        <f t="shared" si="8"/>
        <v>433.44799999999998</v>
      </c>
      <c r="L44" s="86">
        <f t="shared" si="8"/>
        <v>384.35969999999998</v>
      </c>
      <c r="N44" s="21"/>
      <c r="O44" s="21"/>
      <c r="P44" s="21"/>
    </row>
    <row r="45" spans="2:16" ht="18" customHeight="1" x14ac:dyDescent="0.2">
      <c r="B45" s="15">
        <v>41</v>
      </c>
      <c r="C45" s="64" t="s">
        <v>51</v>
      </c>
      <c r="D45" s="20">
        <v>2.4900000000000002</v>
      </c>
      <c r="E45" s="20">
        <v>2.298</v>
      </c>
      <c r="F45" s="20">
        <v>1.5825</v>
      </c>
      <c r="G45" s="20">
        <v>9.18</v>
      </c>
      <c r="H45" s="20">
        <v>7.4029999999999996</v>
      </c>
      <c r="I45" s="20">
        <v>11.675599999999999</v>
      </c>
      <c r="J45" s="20">
        <f t="shared" si="7"/>
        <v>11.67</v>
      </c>
      <c r="K45" s="20">
        <f t="shared" si="8"/>
        <v>9.7010000000000005</v>
      </c>
      <c r="L45" s="86">
        <f t="shared" si="8"/>
        <v>13.258099999999999</v>
      </c>
      <c r="N45" s="21"/>
      <c r="O45" s="21"/>
      <c r="P45" s="21"/>
    </row>
    <row r="46" spans="2:16" ht="18" customHeight="1" x14ac:dyDescent="0.2">
      <c r="B46" s="15">
        <v>42</v>
      </c>
      <c r="C46" s="64" t="s">
        <v>9</v>
      </c>
      <c r="D46" s="5">
        <v>4105.4399999999996</v>
      </c>
      <c r="E46" s="5">
        <v>7496.76</v>
      </c>
      <c r="F46" s="5">
        <v>7431.2910000000002</v>
      </c>
      <c r="G46" s="5">
        <v>4032.29</v>
      </c>
      <c r="H46" s="5">
        <v>8421.43</v>
      </c>
      <c r="I46" s="5">
        <v>8846.6098999999995</v>
      </c>
      <c r="J46" s="20">
        <f t="shared" si="7"/>
        <v>8137.73</v>
      </c>
      <c r="K46" s="20">
        <f>H46+E46</f>
        <v>15918.19</v>
      </c>
      <c r="L46" s="86">
        <f>I46+F46</f>
        <v>16277.900900000001</v>
      </c>
      <c r="N46" s="21"/>
      <c r="O46" s="21"/>
      <c r="P46" s="21"/>
    </row>
    <row r="47" spans="2:16" ht="18" customHeight="1" x14ac:dyDescent="0.2">
      <c r="B47" s="15">
        <v>43</v>
      </c>
      <c r="C47" s="64" t="s">
        <v>84</v>
      </c>
      <c r="D47" s="20">
        <v>860.13</v>
      </c>
      <c r="E47" s="20">
        <v>1645.4159999999999</v>
      </c>
      <c r="F47" s="20">
        <v>2148.8229000000001</v>
      </c>
      <c r="G47" s="20">
        <v>291.12</v>
      </c>
      <c r="H47" s="20">
        <v>482.69799999999998</v>
      </c>
      <c r="I47" s="20">
        <v>464.06950000000001</v>
      </c>
      <c r="J47" s="20">
        <f t="shared" si="7"/>
        <v>1151.25</v>
      </c>
      <c r="K47" s="20">
        <f t="shared" ref="K47:L49" si="9">E47+H47</f>
        <v>2128.114</v>
      </c>
      <c r="L47" s="86">
        <f t="shared" si="9"/>
        <v>2612.8924000000002</v>
      </c>
      <c r="N47" s="21"/>
      <c r="O47" s="21"/>
      <c r="P47" s="21"/>
    </row>
    <row r="48" spans="2:16" ht="18" customHeight="1" x14ac:dyDescent="0.2">
      <c r="B48" s="15">
        <v>44</v>
      </c>
      <c r="C48" s="64" t="s">
        <v>40</v>
      </c>
      <c r="D48" s="20">
        <v>23.75</v>
      </c>
      <c r="E48" s="20">
        <v>34.92</v>
      </c>
      <c r="F48" s="20">
        <v>26.111000000000001</v>
      </c>
      <c r="G48" s="20">
        <v>29.78</v>
      </c>
      <c r="H48" s="20">
        <v>34.256799999999998</v>
      </c>
      <c r="I48" s="20">
        <v>35.572000000000003</v>
      </c>
      <c r="J48" s="20">
        <f t="shared" si="7"/>
        <v>53.53</v>
      </c>
      <c r="K48" s="20">
        <f t="shared" si="9"/>
        <v>69.1768</v>
      </c>
      <c r="L48" s="86">
        <f t="shared" si="9"/>
        <v>61.683000000000007</v>
      </c>
      <c r="N48" s="21"/>
      <c r="O48" s="21"/>
      <c r="P48" s="21"/>
    </row>
    <row r="49" spans="2:16" ht="18" customHeight="1" thickBot="1" x14ac:dyDescent="0.25">
      <c r="B49" s="67">
        <v>45</v>
      </c>
      <c r="C49" s="68" t="s">
        <v>52</v>
      </c>
      <c r="D49" s="23">
        <v>243.14</v>
      </c>
      <c r="E49" s="23">
        <v>237.16900000000001</v>
      </c>
      <c r="F49" s="23">
        <v>308.71699999999998</v>
      </c>
      <c r="G49" s="23">
        <v>57.4</v>
      </c>
      <c r="H49" s="23">
        <v>57.716999999999999</v>
      </c>
      <c r="I49" s="23">
        <v>76.921599999999998</v>
      </c>
      <c r="J49" s="23">
        <f t="shared" si="7"/>
        <v>300.53999999999996</v>
      </c>
      <c r="K49" s="23">
        <f t="shared" si="9"/>
        <v>294.88600000000002</v>
      </c>
      <c r="L49" s="107">
        <f t="shared" si="9"/>
        <v>385.6386</v>
      </c>
      <c r="N49" s="21"/>
      <c r="O49" s="21"/>
      <c r="P49" s="21"/>
    </row>
    <row r="50" spans="2:16" ht="18" customHeight="1" thickBot="1" x14ac:dyDescent="0.25">
      <c r="B50" s="131" t="s">
        <v>37</v>
      </c>
      <c r="C50" s="132"/>
      <c r="D50" s="7">
        <f t="shared" ref="D50:L50" si="10">SUM(D5:D49)</f>
        <v>31677.938800000004</v>
      </c>
      <c r="E50" s="7">
        <f t="shared" si="10"/>
        <v>46995.869299999991</v>
      </c>
      <c r="F50" s="7">
        <f t="shared" si="10"/>
        <v>55865.70459999999</v>
      </c>
      <c r="G50" s="7">
        <f t="shared" si="10"/>
        <v>27958.180999999997</v>
      </c>
      <c r="H50" s="7">
        <f t="shared" si="10"/>
        <v>34709.969199999992</v>
      </c>
      <c r="I50" s="7">
        <f t="shared" si="10"/>
        <v>38531.409889999995</v>
      </c>
      <c r="J50" s="7">
        <f t="shared" si="10"/>
        <v>59636.119799999993</v>
      </c>
      <c r="K50" s="7">
        <f t="shared" si="10"/>
        <v>81705.838499999998</v>
      </c>
      <c r="L50" s="96">
        <f t="shared" si="10"/>
        <v>94397.114490000007</v>
      </c>
      <c r="M50" s="26"/>
      <c r="N50" s="21"/>
      <c r="O50" s="21"/>
      <c r="P50" s="21"/>
    </row>
    <row r="51" spans="2:16" ht="16.899999999999999" customHeight="1" x14ac:dyDescent="0.2">
      <c r="B51" s="2"/>
      <c r="C51" s="2"/>
      <c r="D51" s="8"/>
      <c r="E51" s="8"/>
      <c r="F51" s="8"/>
      <c r="G51" s="8"/>
      <c r="H51" s="8"/>
      <c r="I51" s="8"/>
      <c r="J51" s="38"/>
    </row>
    <row r="52" spans="2:16" ht="15.6" hidden="1" customHeight="1" x14ac:dyDescent="0.2">
      <c r="E52" s="63">
        <f>SUM(E50-D50)/D50*100</f>
        <v>48.355199486653419</v>
      </c>
      <c r="F52" s="63">
        <f>SUM(F50-E50)/E50*100</f>
        <v>18.873648752785176</v>
      </c>
      <c r="H52" s="63">
        <f>SUM(H50-G50)/G50*100</f>
        <v>24.149597572173942</v>
      </c>
      <c r="I52" s="63">
        <f>SUM(I50-H50)/H50*100</f>
        <v>11.009634344475314</v>
      </c>
      <c r="J52" s="94"/>
      <c r="K52" s="63">
        <f>SUM(K50-J50)/J50*100</f>
        <v>37.007301571622378</v>
      </c>
      <c r="L52" s="63">
        <f>SUM(L50-K50)/K50*100</f>
        <v>15.532887518191259</v>
      </c>
    </row>
    <row r="53" spans="2:16" hidden="1" x14ac:dyDescent="0.2">
      <c r="D53" s="21" t="e">
        <f>(D50-#REF!)/#REF!*100</f>
        <v>#REF!</v>
      </c>
      <c r="E53" s="21">
        <f>(E50-D50)/D50*100</f>
        <v>48.355199486653419</v>
      </c>
      <c r="G53" s="21" t="e">
        <f>(G50-#REF!)/#REF!*100</f>
        <v>#REF!</v>
      </c>
      <c r="H53" s="21">
        <f>(H50-G50)/G50*100</f>
        <v>24.149597572173942</v>
      </c>
      <c r="J53" s="21" t="e">
        <f>(J50-#REF!)/#REF!*100</f>
        <v>#REF!</v>
      </c>
      <c r="K53" s="21">
        <f>(K50-J50)/J50*100</f>
        <v>37.007301571622378</v>
      </c>
    </row>
    <row r="54" spans="2:16" x14ac:dyDescent="0.2">
      <c r="B54" s="145" t="s">
        <v>110</v>
      </c>
      <c r="C54" s="145"/>
      <c r="D54" s="145"/>
      <c r="E54" s="145"/>
      <c r="F54" s="145"/>
      <c r="G54" s="145"/>
      <c r="H54" s="145"/>
      <c r="I54" s="145"/>
      <c r="J54" s="145"/>
      <c r="K54" s="145"/>
      <c r="L54" s="145"/>
    </row>
    <row r="56" spans="2:16" x14ac:dyDescent="0.2">
      <c r="B56" s="140">
        <v>4</v>
      </c>
      <c r="C56" s="140"/>
      <c r="D56" s="140"/>
      <c r="E56" s="140"/>
      <c r="F56" s="140"/>
      <c r="G56" s="140"/>
      <c r="H56" s="140"/>
      <c r="I56" s="140"/>
      <c r="J56" s="140"/>
      <c r="K56" s="140"/>
      <c r="L56" s="140"/>
    </row>
    <row r="58" spans="2:16" x14ac:dyDescent="0.2">
      <c r="C58" s="3" t="s">
        <v>29</v>
      </c>
    </row>
  </sheetData>
  <sortState xmlns:xlrd2="http://schemas.microsoft.com/office/spreadsheetml/2017/richdata2" ref="C5:D50">
    <sortCondition ref="C5:C50"/>
  </sortState>
  <mergeCells count="10">
    <mergeCell ref="B56:L56"/>
    <mergeCell ref="B2:K2"/>
    <mergeCell ref="B1:L1"/>
    <mergeCell ref="C3:C4"/>
    <mergeCell ref="B3:B4"/>
    <mergeCell ref="D3:F3"/>
    <mergeCell ref="G3:I3"/>
    <mergeCell ref="J3:L3"/>
    <mergeCell ref="B50:C50"/>
    <mergeCell ref="B54:L54"/>
  </mergeCells>
  <phoneticPr fontId="0" type="noConversion"/>
  <printOptions horizontalCentered="1" verticalCentered="1"/>
  <pageMargins left="0.23622047244094491" right="0.23622047244094491" top="0.39370078740157483" bottom="0.74803149606299213" header="0.31496062992125984" footer="0.31496062992125984"/>
  <pageSetup scale="7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M54"/>
  <sheetViews>
    <sheetView view="pageBreakPreview" zoomScaleNormal="100" zoomScaleSheetLayoutView="100" workbookViewId="0">
      <pane ySplit="4" topLeftCell="A26" activePane="bottomLeft" state="frozen"/>
      <selection pane="bottomLeft" activeCell="F41" sqref="F41"/>
    </sheetView>
  </sheetViews>
  <sheetFormatPr defaultColWidth="8.7109375" defaultRowHeight="15.75" x14ac:dyDescent="0.2"/>
  <cols>
    <col min="1" max="1" width="7.85546875" style="1" customWidth="1"/>
    <col min="2" max="2" width="7" style="3" customWidth="1"/>
    <col min="3" max="3" width="45.7109375" style="3" customWidth="1"/>
    <col min="4" max="4" width="10.7109375" style="40" customWidth="1"/>
    <col min="5" max="5" width="10.140625" style="40" customWidth="1"/>
    <col min="6" max="6" width="10.28515625" style="40" customWidth="1"/>
    <col min="7" max="7" width="10.140625" style="40" customWidth="1"/>
    <col min="8" max="8" width="10" style="40" customWidth="1"/>
    <col min="9" max="9" width="10.7109375" style="40" customWidth="1"/>
    <col min="10" max="10" width="10.7109375" style="1" customWidth="1"/>
    <col min="11" max="12" width="9.85546875" style="1" customWidth="1"/>
    <col min="13" max="16384" width="8.7109375" style="1"/>
  </cols>
  <sheetData>
    <row r="1" spans="2:12" s="39" customFormat="1" ht="21" customHeight="1" x14ac:dyDescent="0.2">
      <c r="B1" s="146" t="s">
        <v>27</v>
      </c>
      <c r="C1" s="147"/>
      <c r="D1" s="147"/>
      <c r="E1" s="147"/>
      <c r="F1" s="147"/>
      <c r="G1" s="147"/>
      <c r="H1" s="147"/>
      <c r="I1" s="147"/>
      <c r="J1" s="147"/>
      <c r="K1" s="147"/>
      <c r="L1" s="148"/>
    </row>
    <row r="2" spans="2:12" ht="18" customHeight="1" x14ac:dyDescent="0.2">
      <c r="B2" s="151" t="s">
        <v>24</v>
      </c>
      <c r="C2" s="152"/>
      <c r="D2" s="152"/>
      <c r="E2" s="152"/>
      <c r="F2" s="152"/>
      <c r="G2" s="152"/>
      <c r="H2" s="152"/>
      <c r="I2" s="152"/>
      <c r="J2" s="152"/>
      <c r="K2" s="152"/>
      <c r="L2" s="98" t="s">
        <v>46</v>
      </c>
    </row>
    <row r="3" spans="2:12" ht="31.15" customHeight="1" x14ac:dyDescent="0.2">
      <c r="B3" s="136" t="s">
        <v>58</v>
      </c>
      <c r="C3" s="134" t="s">
        <v>10</v>
      </c>
      <c r="D3" s="134" t="s">
        <v>76</v>
      </c>
      <c r="E3" s="134"/>
      <c r="F3" s="134"/>
      <c r="G3" s="153" t="s">
        <v>16</v>
      </c>
      <c r="H3" s="153"/>
      <c r="I3" s="153"/>
      <c r="J3" s="149" t="s">
        <v>17</v>
      </c>
      <c r="K3" s="149"/>
      <c r="L3" s="150"/>
    </row>
    <row r="4" spans="2:12" ht="19.149999999999999" customHeight="1" thickBot="1" x14ac:dyDescent="0.25">
      <c r="B4" s="137"/>
      <c r="C4" s="135"/>
      <c r="D4" s="100">
        <v>2023</v>
      </c>
      <c r="E4" s="100">
        <v>2024</v>
      </c>
      <c r="F4" s="100">
        <v>2025</v>
      </c>
      <c r="G4" s="100">
        <v>2023</v>
      </c>
      <c r="H4" s="100">
        <v>2024</v>
      </c>
      <c r="I4" s="100">
        <v>2025</v>
      </c>
      <c r="J4" s="100">
        <v>2023</v>
      </c>
      <c r="K4" s="100">
        <v>2024</v>
      </c>
      <c r="L4" s="101">
        <v>2025</v>
      </c>
    </row>
    <row r="5" spans="2:12" ht="18" customHeight="1" x14ac:dyDescent="0.2">
      <c r="B5" s="16">
        <v>1</v>
      </c>
      <c r="C5" s="65" t="s">
        <v>48</v>
      </c>
      <c r="D5" s="27">
        <f>'income '!J5-expenditure!J5</f>
        <v>18.920000000000002</v>
      </c>
      <c r="E5" s="27">
        <f>'income '!K5-expenditure!K5</f>
        <v>26.7468</v>
      </c>
      <c r="F5" s="27">
        <f>'income '!L5-expenditure!L5</f>
        <v>34.840200000000003</v>
      </c>
      <c r="G5" s="27">
        <v>9.92</v>
      </c>
      <c r="H5" s="27">
        <v>11.524100000000001</v>
      </c>
      <c r="I5" s="27">
        <v>13.4847</v>
      </c>
      <c r="J5" s="27">
        <f t="shared" ref="J5:L13" si="0">D5-G5</f>
        <v>9.0000000000000018</v>
      </c>
      <c r="K5" s="27">
        <f t="shared" si="0"/>
        <v>15.2227</v>
      </c>
      <c r="L5" s="97">
        <f t="shared" si="0"/>
        <v>21.355500000000003</v>
      </c>
    </row>
    <row r="6" spans="2:12" ht="18" customHeight="1" x14ac:dyDescent="0.2">
      <c r="B6" s="15">
        <v>2</v>
      </c>
      <c r="C6" s="64" t="s">
        <v>34</v>
      </c>
      <c r="D6" s="20">
        <f>'income '!J6-expenditure!J6</f>
        <v>114.40999999999985</v>
      </c>
      <c r="E6" s="20">
        <f>'income '!K6-expenditure!K6</f>
        <v>89.326999999999771</v>
      </c>
      <c r="F6" s="20">
        <f>'income '!L6-expenditure!L6</f>
        <v>138.63979999999992</v>
      </c>
      <c r="G6" s="20">
        <v>43.62</v>
      </c>
      <c r="H6" s="20">
        <v>23.1</v>
      </c>
      <c r="I6" s="20">
        <v>125.2471</v>
      </c>
      <c r="J6" s="20">
        <f t="shared" si="0"/>
        <v>70.78999999999985</v>
      </c>
      <c r="K6" s="20">
        <f t="shared" si="0"/>
        <v>66.226999999999776</v>
      </c>
      <c r="L6" s="86">
        <f t="shared" si="0"/>
        <v>13.39269999999992</v>
      </c>
    </row>
    <row r="7" spans="2:12" ht="18" customHeight="1" x14ac:dyDescent="0.2">
      <c r="B7" s="15">
        <v>3</v>
      </c>
      <c r="C7" s="64" t="s">
        <v>80</v>
      </c>
      <c r="D7" s="20">
        <f>'income '!J7-expenditure!J7</f>
        <v>200.55000000000007</v>
      </c>
      <c r="E7" s="20">
        <f>'income '!K7-expenditure!K7</f>
        <v>250.36599999999999</v>
      </c>
      <c r="F7" s="20">
        <f>'income '!L7-expenditure!L7</f>
        <v>483.15700000000015</v>
      </c>
      <c r="G7" s="20">
        <v>71.89</v>
      </c>
      <c r="H7" s="20">
        <v>101.812</v>
      </c>
      <c r="I7" s="20">
        <v>203.75640000000001</v>
      </c>
      <c r="J7" s="20">
        <f t="shared" si="0"/>
        <v>128.66000000000008</v>
      </c>
      <c r="K7" s="20">
        <f t="shared" si="0"/>
        <v>148.55399999999997</v>
      </c>
      <c r="L7" s="86">
        <v>279.4006</v>
      </c>
    </row>
    <row r="8" spans="2:12" ht="18" customHeight="1" x14ac:dyDescent="0.2">
      <c r="B8" s="15">
        <v>4</v>
      </c>
      <c r="C8" s="64" t="s">
        <v>0</v>
      </c>
      <c r="D8" s="5">
        <f>'income '!J8-expenditure!J8</f>
        <v>2146.54</v>
      </c>
      <c r="E8" s="5">
        <f>'income '!K8-expenditure!K8</f>
        <v>3474.5160000000001</v>
      </c>
      <c r="F8" s="5">
        <f>'income '!L8-expenditure!L8</f>
        <v>4229.2908000000007</v>
      </c>
      <c r="G8" s="5">
        <v>986.91</v>
      </c>
      <c r="H8" s="5">
        <v>1593.098</v>
      </c>
      <c r="I8" s="5">
        <v>1658.9491</v>
      </c>
      <c r="J8" s="20">
        <f t="shared" si="0"/>
        <v>1159.6300000000001</v>
      </c>
      <c r="K8" s="20">
        <f t="shared" si="0"/>
        <v>1881.4180000000001</v>
      </c>
      <c r="L8" s="86">
        <f t="shared" si="0"/>
        <v>2570.3417000000009</v>
      </c>
    </row>
    <row r="9" spans="2:12" ht="18" customHeight="1" x14ac:dyDescent="0.2">
      <c r="B9" s="15">
        <v>5</v>
      </c>
      <c r="C9" s="64" t="s">
        <v>1</v>
      </c>
      <c r="D9" s="5">
        <f>'income '!J9-expenditure!J9</f>
        <v>28.165999999999997</v>
      </c>
      <c r="E9" s="5">
        <f>'income '!K9-expenditure!K9</f>
        <v>32.885999999999996</v>
      </c>
      <c r="F9" s="5">
        <f>'income '!L9-expenditure!L9</f>
        <v>22.045800000000014</v>
      </c>
      <c r="G9" s="20">
        <v>11</v>
      </c>
      <c r="H9" s="20">
        <v>26.99</v>
      </c>
      <c r="I9" s="20">
        <v>21.709</v>
      </c>
      <c r="J9" s="20">
        <f t="shared" si="0"/>
        <v>17.165999999999997</v>
      </c>
      <c r="K9" s="20">
        <f t="shared" si="0"/>
        <v>5.8959999999999972</v>
      </c>
      <c r="L9" s="86">
        <v>0.33460000000000001</v>
      </c>
    </row>
    <row r="10" spans="2:12" ht="18" customHeight="1" x14ac:dyDescent="0.2">
      <c r="B10" s="15">
        <v>6</v>
      </c>
      <c r="C10" s="64" t="s">
        <v>2</v>
      </c>
      <c r="D10" s="5">
        <f>'income '!J10-expenditure!J10</f>
        <v>21.455000000000005</v>
      </c>
      <c r="E10" s="5">
        <f>'income '!K10-expenditure!K10</f>
        <v>20.818999999999996</v>
      </c>
      <c r="F10" s="5">
        <f>'income '!L10-expenditure!L10</f>
        <v>17.813399999999994</v>
      </c>
      <c r="G10" s="20">
        <v>9.6</v>
      </c>
      <c r="H10" s="20">
        <v>11.798999999999999</v>
      </c>
      <c r="I10" s="20">
        <v>7.5601000000000003</v>
      </c>
      <c r="J10" s="20">
        <f t="shared" si="0"/>
        <v>11.855000000000006</v>
      </c>
      <c r="K10" s="20">
        <f t="shared" si="0"/>
        <v>9.019999999999996</v>
      </c>
      <c r="L10" s="86">
        <f t="shared" si="0"/>
        <v>10.253299999999994</v>
      </c>
    </row>
    <row r="11" spans="2:12" ht="18" customHeight="1" x14ac:dyDescent="0.2">
      <c r="B11" s="15">
        <v>7</v>
      </c>
      <c r="C11" s="64" t="s">
        <v>77</v>
      </c>
      <c r="D11" s="20">
        <f>'income '!J11-expenditure!J11</f>
        <v>19.126000000000005</v>
      </c>
      <c r="E11" s="20">
        <f>'income '!K11-expenditure!K11</f>
        <v>5.3848999999999947</v>
      </c>
      <c r="F11" s="20">
        <f>'income '!L11-expenditure!L11</f>
        <v>3.9227999999999952</v>
      </c>
      <c r="G11" s="20">
        <v>11.34</v>
      </c>
      <c r="H11" s="20">
        <v>3.246</v>
      </c>
      <c r="I11" s="20">
        <v>0.96899999999999997</v>
      </c>
      <c r="J11" s="20">
        <f t="shared" si="0"/>
        <v>7.7860000000000049</v>
      </c>
      <c r="K11" s="20">
        <f t="shared" si="0"/>
        <v>2.1388999999999947</v>
      </c>
      <c r="L11" s="86">
        <f t="shared" si="0"/>
        <v>2.9537999999999953</v>
      </c>
    </row>
    <row r="12" spans="2:12" ht="18" customHeight="1" x14ac:dyDescent="0.2">
      <c r="B12" s="15">
        <v>8</v>
      </c>
      <c r="C12" s="64" t="s">
        <v>81</v>
      </c>
      <c r="D12" s="20">
        <f>'income '!J12-expenditure!J12</f>
        <v>-15.530000000000001</v>
      </c>
      <c r="E12" s="5">
        <f>'income '!K12-expenditure!K12</f>
        <v>88.147599999999997</v>
      </c>
      <c r="F12" s="5">
        <f>'income '!L12-expenditure!L12</f>
        <v>86.491899999999987</v>
      </c>
      <c r="G12" s="20">
        <v>6.09</v>
      </c>
      <c r="H12" s="20">
        <v>22.54</v>
      </c>
      <c r="I12" s="20">
        <v>43.637</v>
      </c>
      <c r="J12" s="20">
        <f t="shared" si="0"/>
        <v>-21.62</v>
      </c>
      <c r="K12" s="20">
        <f t="shared" si="0"/>
        <v>65.607599999999991</v>
      </c>
      <c r="L12" s="86">
        <f t="shared" si="0"/>
        <v>42.854899999999986</v>
      </c>
    </row>
    <row r="13" spans="2:12" ht="18" customHeight="1" x14ac:dyDescent="0.2">
      <c r="B13" s="15">
        <v>9</v>
      </c>
      <c r="C13" s="64" t="s">
        <v>70</v>
      </c>
      <c r="D13" s="20">
        <f>'income '!J13-expenditure!J13</f>
        <v>1255.5600000000004</v>
      </c>
      <c r="E13" s="20">
        <f>'income '!K13-expenditure!K13</f>
        <v>1434.325</v>
      </c>
      <c r="F13" s="20">
        <f>'income '!L13-expenditure!L13</f>
        <v>1746.8056000000001</v>
      </c>
      <c r="G13" s="20">
        <v>586.46</v>
      </c>
      <c r="H13" s="20">
        <v>649.12300000000005</v>
      </c>
      <c r="I13" s="20">
        <v>712.22180000000003</v>
      </c>
      <c r="J13" s="20">
        <f t="shared" ref="J13:J30" si="1">D13-G13</f>
        <v>669.10000000000036</v>
      </c>
      <c r="K13" s="20">
        <v>785.20100000000002</v>
      </c>
      <c r="L13" s="86">
        <f t="shared" si="0"/>
        <v>1034.5838000000001</v>
      </c>
    </row>
    <row r="14" spans="2:12" ht="18" customHeight="1" x14ac:dyDescent="0.2">
      <c r="B14" s="15">
        <v>10</v>
      </c>
      <c r="C14" s="64" t="s">
        <v>4</v>
      </c>
      <c r="D14" s="20">
        <f>'income '!J14-expenditure!J14</f>
        <v>881.49000000000069</v>
      </c>
      <c r="E14" s="20">
        <f>'income '!K14-expenditure!K14</f>
        <v>1072.1929999999998</v>
      </c>
      <c r="F14" s="20">
        <f>'income '!L14-expenditure!L14</f>
        <v>1064.4048000000003</v>
      </c>
      <c r="G14" s="20">
        <v>408.1</v>
      </c>
      <c r="H14" s="20">
        <v>479.14100000000002</v>
      </c>
      <c r="I14" s="20">
        <v>429.14789999999999</v>
      </c>
      <c r="J14" s="20">
        <f t="shared" si="1"/>
        <v>473.39000000000067</v>
      </c>
      <c r="K14" s="20">
        <f t="shared" ref="K14:L27" si="2">E14-H14</f>
        <v>593.05199999999968</v>
      </c>
      <c r="L14" s="86">
        <f t="shared" si="2"/>
        <v>635.25690000000031</v>
      </c>
    </row>
    <row r="15" spans="2:12" ht="18" customHeight="1" x14ac:dyDescent="0.2">
      <c r="B15" s="15">
        <v>11</v>
      </c>
      <c r="C15" s="64" t="s">
        <v>47</v>
      </c>
      <c r="D15" s="5">
        <f>'income '!J15-expenditure!J15</f>
        <v>19981.36</v>
      </c>
      <c r="E15" s="5">
        <f>'income '!K15-expenditure!K15</f>
        <v>11214.289999999999</v>
      </c>
      <c r="F15" s="5">
        <f>'income '!L15-expenditure!L15</f>
        <v>10873.008999999998</v>
      </c>
      <c r="G15" s="5">
        <v>6367.62</v>
      </c>
      <c r="H15" s="5">
        <v>4977.17</v>
      </c>
      <c r="I15" s="5">
        <v>4680.22</v>
      </c>
      <c r="J15" s="20">
        <f t="shared" si="1"/>
        <v>13613.740000000002</v>
      </c>
      <c r="K15" s="20">
        <f t="shared" si="2"/>
        <v>6237.119999999999</v>
      </c>
      <c r="L15" s="86">
        <f t="shared" si="2"/>
        <v>6192.7889999999979</v>
      </c>
    </row>
    <row r="16" spans="2:12" ht="18" customHeight="1" x14ac:dyDescent="0.2">
      <c r="B16" s="15">
        <v>12</v>
      </c>
      <c r="C16" s="64" t="s">
        <v>65</v>
      </c>
      <c r="D16" s="20">
        <f>'income '!J16-expenditure!J16</f>
        <v>54.260000000000005</v>
      </c>
      <c r="E16" s="20">
        <f>'income '!K16-expenditure!K16</f>
        <v>42.523000000000003</v>
      </c>
      <c r="F16" s="20">
        <f>'income '!L16-expenditure!L16</f>
        <v>41.472399999999993</v>
      </c>
      <c r="G16" s="20">
        <v>13.12</v>
      </c>
      <c r="H16" s="20">
        <v>-20.23</v>
      </c>
      <c r="I16" s="20">
        <v>23.827999999999999</v>
      </c>
      <c r="J16" s="20">
        <f t="shared" si="1"/>
        <v>41.140000000000008</v>
      </c>
      <c r="K16" s="20">
        <f t="shared" si="2"/>
        <v>62.753</v>
      </c>
      <c r="L16" s="86">
        <f t="shared" si="2"/>
        <v>17.644399999999994</v>
      </c>
    </row>
    <row r="17" spans="2:13" ht="18" customHeight="1" x14ac:dyDescent="0.2">
      <c r="B17" s="15">
        <v>13</v>
      </c>
      <c r="C17" s="64" t="s">
        <v>41</v>
      </c>
      <c r="D17" s="20">
        <f>'income '!J17-expenditure!J17</f>
        <v>169.07999999999993</v>
      </c>
      <c r="E17" s="20">
        <f>'income '!K17-expenditure!K17</f>
        <v>231.64999999999998</v>
      </c>
      <c r="F17" s="20">
        <f>'income '!L17-expenditure!L17</f>
        <v>355.74</v>
      </c>
      <c r="G17" s="20">
        <v>88.34</v>
      </c>
      <c r="H17" s="20">
        <v>100.455</v>
      </c>
      <c r="I17" s="20">
        <v>141.66300000000001</v>
      </c>
      <c r="J17" s="20">
        <f t="shared" si="1"/>
        <v>80.739999999999924</v>
      </c>
      <c r="K17" s="20">
        <f t="shared" si="2"/>
        <v>131.19499999999999</v>
      </c>
      <c r="L17" s="86">
        <f t="shared" si="2"/>
        <v>214.077</v>
      </c>
    </row>
    <row r="18" spans="2:13" ht="18" customHeight="1" x14ac:dyDescent="0.2">
      <c r="B18" s="15">
        <v>14</v>
      </c>
      <c r="C18" s="64" t="s">
        <v>104</v>
      </c>
      <c r="D18" s="20">
        <f>'income '!J18-expenditure!J18</f>
        <v>475.96299999999997</v>
      </c>
      <c r="E18" s="20">
        <f>'income '!K18-expenditure!K18</f>
        <v>359.62400000000002</v>
      </c>
      <c r="F18" s="20">
        <f>'income '!L18-expenditure!L18</f>
        <v>287.8784</v>
      </c>
      <c r="G18" s="20">
        <v>216.2</v>
      </c>
      <c r="H18" s="20">
        <v>162.30099999999999</v>
      </c>
      <c r="I18" s="20">
        <v>114.824</v>
      </c>
      <c r="J18" s="20">
        <f t="shared" si="1"/>
        <v>259.76299999999998</v>
      </c>
      <c r="K18" s="20">
        <f t="shared" si="2"/>
        <v>197.32300000000004</v>
      </c>
      <c r="L18" s="86">
        <f t="shared" si="2"/>
        <v>173.05439999999999</v>
      </c>
    </row>
    <row r="19" spans="2:13" ht="18" customHeight="1" x14ac:dyDescent="0.2">
      <c r="B19" s="15">
        <v>15</v>
      </c>
      <c r="C19" s="64" t="s">
        <v>98</v>
      </c>
      <c r="D19" s="20">
        <f>'income '!J19-expenditure!J19</f>
        <v>21.94999999999996</v>
      </c>
      <c r="E19" s="20">
        <f>'income '!K19-expenditure!K19</f>
        <v>59.82000000000005</v>
      </c>
      <c r="F19" s="20">
        <f>'income '!L19-expenditure!L19</f>
        <v>63.14670000000001</v>
      </c>
      <c r="G19" s="20">
        <v>11.74</v>
      </c>
      <c r="H19" s="20">
        <v>26.677</v>
      </c>
      <c r="I19" s="20">
        <v>30.267199999999999</v>
      </c>
      <c r="J19" s="20">
        <f t="shared" si="1"/>
        <v>10.20999999999996</v>
      </c>
      <c r="K19" s="20">
        <f t="shared" si="2"/>
        <v>33.14300000000005</v>
      </c>
      <c r="L19" s="86">
        <f t="shared" si="2"/>
        <v>32.879500000000007</v>
      </c>
    </row>
    <row r="20" spans="2:13" ht="18" customHeight="1" x14ac:dyDescent="0.2">
      <c r="B20" s="15">
        <v>16</v>
      </c>
      <c r="C20" s="64" t="s">
        <v>53</v>
      </c>
      <c r="D20" s="20">
        <f>'income '!J20-expenditure!J20</f>
        <v>384.46600000000035</v>
      </c>
      <c r="E20" s="20">
        <f>'income '!K20-expenditure!K20</f>
        <v>711.62800000000061</v>
      </c>
      <c r="F20" s="20">
        <f>'income '!L20-expenditure!L20</f>
        <v>1297.9829999999984</v>
      </c>
      <c r="G20" s="20">
        <v>156.33000000000001</v>
      </c>
      <c r="H20" s="20">
        <v>334.77800000000002</v>
      </c>
      <c r="I20" s="20">
        <v>613.66</v>
      </c>
      <c r="J20" s="20">
        <f t="shared" si="1"/>
        <v>228.13600000000034</v>
      </c>
      <c r="K20" s="20">
        <f t="shared" si="2"/>
        <v>376.85000000000059</v>
      </c>
      <c r="L20" s="86">
        <f t="shared" si="2"/>
        <v>684.32299999999839</v>
      </c>
      <c r="M20" s="92"/>
    </row>
    <row r="21" spans="2:13" ht="18" customHeight="1" x14ac:dyDescent="0.2">
      <c r="B21" s="15">
        <v>17</v>
      </c>
      <c r="C21" s="64" t="s">
        <v>5</v>
      </c>
      <c r="D21" s="20">
        <f>'income '!J21-expenditure!J21</f>
        <v>2756.2699999999986</v>
      </c>
      <c r="E21" s="20">
        <f>'income '!K21-expenditure!K21</f>
        <v>4022.4500000000007</v>
      </c>
      <c r="F21" s="20">
        <f>'income '!L21-expenditure!L21</f>
        <v>5087.3113999999987</v>
      </c>
      <c r="G21" s="5">
        <v>1289.3800000000001</v>
      </c>
      <c r="H21" s="5">
        <v>2045.6890000000001</v>
      </c>
      <c r="I21" s="5">
        <v>2017.2956999999999</v>
      </c>
      <c r="J21" s="20">
        <f t="shared" si="1"/>
        <v>1466.8899999999985</v>
      </c>
      <c r="K21" s="20">
        <f t="shared" si="2"/>
        <v>1976.7610000000006</v>
      </c>
      <c r="L21" s="86">
        <f t="shared" si="2"/>
        <v>3070.015699999999</v>
      </c>
    </row>
    <row r="22" spans="2:13" ht="18" customHeight="1" x14ac:dyDescent="0.2">
      <c r="B22" s="15">
        <v>18</v>
      </c>
      <c r="C22" s="64" t="s">
        <v>60</v>
      </c>
      <c r="D22" s="20">
        <f>'income '!J22-expenditure!J22</f>
        <v>46.668000000000006</v>
      </c>
      <c r="E22" s="20">
        <f>'income '!K22-expenditure!K22</f>
        <v>22.180000000000007</v>
      </c>
      <c r="F22" s="20">
        <f>'income '!L22-expenditure!L22</f>
        <v>16.89800000000001</v>
      </c>
      <c r="G22" s="20">
        <v>11.31</v>
      </c>
      <c r="H22" s="20">
        <v>-6.53</v>
      </c>
      <c r="I22" s="20">
        <v>3.681</v>
      </c>
      <c r="J22" s="20">
        <f t="shared" si="1"/>
        <v>35.358000000000004</v>
      </c>
      <c r="K22" s="20">
        <f t="shared" si="2"/>
        <v>28.710000000000008</v>
      </c>
      <c r="L22" s="86">
        <f t="shared" si="2"/>
        <v>13.217000000000009</v>
      </c>
    </row>
    <row r="23" spans="2:13" ht="18" customHeight="1" x14ac:dyDescent="0.2">
      <c r="B23" s="15">
        <v>19</v>
      </c>
      <c r="C23" s="64" t="s">
        <v>99</v>
      </c>
      <c r="D23" s="20">
        <f>'income '!J23-expenditure!J23</f>
        <v>89.399999999999977</v>
      </c>
      <c r="E23" s="20">
        <f>'income '!K23-expenditure!K23</f>
        <v>128.95999999999992</v>
      </c>
      <c r="F23" s="20">
        <f>'income '!L23-expenditure!L23</f>
        <v>145.66459999999995</v>
      </c>
      <c r="G23" s="20">
        <v>48.63</v>
      </c>
      <c r="H23" s="20">
        <v>54.88</v>
      </c>
      <c r="I23" s="20">
        <v>61.972799999999999</v>
      </c>
      <c r="J23" s="20">
        <f t="shared" si="1"/>
        <v>40.769999999999975</v>
      </c>
      <c r="K23" s="20">
        <f t="shared" si="2"/>
        <v>74.079999999999927</v>
      </c>
      <c r="L23" s="86">
        <f t="shared" si="2"/>
        <v>83.691799999999944</v>
      </c>
    </row>
    <row r="24" spans="2:13" ht="18" customHeight="1" x14ac:dyDescent="0.2">
      <c r="B24" s="15">
        <v>20</v>
      </c>
      <c r="C24" s="64" t="s">
        <v>66</v>
      </c>
      <c r="D24" s="20">
        <f>'income '!J24-expenditure!J24</f>
        <v>129.25</v>
      </c>
      <c r="E24" s="20">
        <f>'income '!K24-expenditure!K24</f>
        <v>98.817000000000007</v>
      </c>
      <c r="F24" s="20">
        <f>'income '!L24-expenditure!L24</f>
        <v>110.74299999999994</v>
      </c>
      <c r="G24" s="20">
        <v>159</v>
      </c>
      <c r="H24" s="20">
        <v>-13.869</v>
      </c>
      <c r="I24" s="20">
        <v>58.93</v>
      </c>
      <c r="J24" s="20">
        <f t="shared" si="1"/>
        <v>-29.75</v>
      </c>
      <c r="K24" s="20">
        <f t="shared" si="2"/>
        <v>112.68600000000001</v>
      </c>
      <c r="L24" s="86">
        <f t="shared" si="2"/>
        <v>51.812999999999938</v>
      </c>
    </row>
    <row r="25" spans="2:13" ht="18" customHeight="1" x14ac:dyDescent="0.2">
      <c r="B25" s="15">
        <v>21</v>
      </c>
      <c r="C25" s="64" t="s">
        <v>39</v>
      </c>
      <c r="D25" s="20">
        <f>'income '!J25-expenditure!J25</f>
        <v>17.84</v>
      </c>
      <c r="E25" s="20">
        <f>'income '!K25-expenditure!K25</f>
        <v>8.8990000000000009</v>
      </c>
      <c r="F25" s="20">
        <f>'income '!L25-expenditure!L25</f>
        <v>6.8873999999999995</v>
      </c>
      <c r="G25" s="20">
        <v>0.61</v>
      </c>
      <c r="H25" s="20">
        <v>0.54</v>
      </c>
      <c r="I25" s="20">
        <v>0.63700000000000001</v>
      </c>
      <c r="J25" s="20">
        <f t="shared" si="1"/>
        <v>17.23</v>
      </c>
      <c r="K25" s="20">
        <f t="shared" si="2"/>
        <v>8.3590000000000018</v>
      </c>
      <c r="L25" s="86">
        <f t="shared" si="2"/>
        <v>6.2503999999999991</v>
      </c>
    </row>
    <row r="26" spans="2:13" ht="18" customHeight="1" x14ac:dyDescent="0.2">
      <c r="B26" s="15">
        <v>22</v>
      </c>
      <c r="C26" s="64" t="s">
        <v>85</v>
      </c>
      <c r="D26" s="20">
        <f>'income '!J26-expenditure!J26</f>
        <v>6469.3300000000017</v>
      </c>
      <c r="E26" s="20">
        <f>'income '!K26-expenditure!K26</f>
        <v>9570.2089999999971</v>
      </c>
      <c r="F26" s="20">
        <f>'income '!L26-expenditure!L26</f>
        <v>10523.705900000001</v>
      </c>
      <c r="G26" s="5">
        <v>3016.39</v>
      </c>
      <c r="H26" s="5">
        <v>4133.8760000000002</v>
      </c>
      <c r="I26" s="5">
        <v>4346.8454000000002</v>
      </c>
      <c r="J26" s="20">
        <f t="shared" si="1"/>
        <v>3452.9400000000019</v>
      </c>
      <c r="K26" s="5">
        <f t="shared" si="2"/>
        <v>5436.3329999999969</v>
      </c>
      <c r="L26" s="87">
        <f t="shared" si="2"/>
        <v>6176.8605000000007</v>
      </c>
    </row>
    <row r="27" spans="2:13" ht="18" customHeight="1" x14ac:dyDescent="0.2">
      <c r="B27" s="15">
        <v>23</v>
      </c>
      <c r="C27" s="64" t="s">
        <v>59</v>
      </c>
      <c r="D27" s="5">
        <f>'income '!J27-expenditure!J27</f>
        <v>29.699999999999996</v>
      </c>
      <c r="E27" s="5">
        <f>'income '!K27-expenditure!K27+0.02</f>
        <v>34.263000000000005</v>
      </c>
      <c r="F27" s="5">
        <f>'income '!L27-expenditure!L27+0.02</f>
        <v>35.276700000000005</v>
      </c>
      <c r="G27" s="20">
        <v>13.186</v>
      </c>
      <c r="H27" s="20">
        <v>15.904</v>
      </c>
      <c r="I27" s="20">
        <v>14.844099999999999</v>
      </c>
      <c r="J27" s="20">
        <f t="shared" si="1"/>
        <v>16.513999999999996</v>
      </c>
      <c r="K27" s="20">
        <f t="shared" si="2"/>
        <v>18.359000000000005</v>
      </c>
      <c r="L27" s="86">
        <f t="shared" si="2"/>
        <v>20.432600000000008</v>
      </c>
    </row>
    <row r="28" spans="2:13" ht="18" customHeight="1" x14ac:dyDescent="0.2">
      <c r="B28" s="15">
        <v>24</v>
      </c>
      <c r="C28" s="64" t="s">
        <v>86</v>
      </c>
      <c r="D28" s="20">
        <f>'income '!J28-expenditure!J28</f>
        <v>27.629999999999995</v>
      </c>
      <c r="E28" s="20">
        <f>'income '!K28-expenditure!K28</f>
        <v>87.406999999999982</v>
      </c>
      <c r="F28" s="20">
        <f>'income '!L28-expenditure!L28</f>
        <v>114.11640000000006</v>
      </c>
      <c r="G28" s="20">
        <v>12.83</v>
      </c>
      <c r="H28" s="20">
        <v>37.975999999999999</v>
      </c>
      <c r="I28" s="20">
        <v>51.833399999999997</v>
      </c>
      <c r="J28" s="20">
        <f t="shared" si="1"/>
        <v>14.799999999999995</v>
      </c>
      <c r="K28" s="20">
        <v>49.429000000000002</v>
      </c>
      <c r="L28" s="86">
        <v>62.283000000000001</v>
      </c>
    </row>
    <row r="29" spans="2:13" ht="18" customHeight="1" x14ac:dyDescent="0.2">
      <c r="B29" s="15">
        <v>25</v>
      </c>
      <c r="C29" s="64" t="s">
        <v>6</v>
      </c>
      <c r="D29" s="20">
        <f>'income '!J29-expenditure!J29</f>
        <v>3583.3100000000004</v>
      </c>
      <c r="E29" s="20">
        <f>'income '!K29-expenditure!K29</f>
        <v>4622.6129999999994</v>
      </c>
      <c r="F29" s="20">
        <f>'income '!L29-expenditure!L29</f>
        <v>6323.5045000000009</v>
      </c>
      <c r="G29" s="5">
        <v>1650.95</v>
      </c>
      <c r="H29" s="5">
        <v>2058.8870000000002</v>
      </c>
      <c r="I29" s="5">
        <v>2608.8881000000001</v>
      </c>
      <c r="J29" s="20">
        <f t="shared" si="1"/>
        <v>1932.3600000000004</v>
      </c>
      <c r="K29" s="5">
        <f t="shared" ref="K29:L32" si="3">E29-H29</f>
        <v>2563.7259999999992</v>
      </c>
      <c r="L29" s="87">
        <f t="shared" si="3"/>
        <v>3714.6164000000008</v>
      </c>
    </row>
    <row r="30" spans="2:13" ht="18" customHeight="1" x14ac:dyDescent="0.2">
      <c r="B30" s="15">
        <v>26</v>
      </c>
      <c r="C30" s="64" t="s">
        <v>35</v>
      </c>
      <c r="D30" s="20">
        <f>'income '!J30-expenditure!J30</f>
        <v>10.280000000000001</v>
      </c>
      <c r="E30" s="20">
        <f>'income '!K30-expenditure!K30</f>
        <v>75.344999999999999</v>
      </c>
      <c r="F30" s="20">
        <f>'income '!L30-expenditure!L30</f>
        <v>155.24600000000001</v>
      </c>
      <c r="G30" s="20">
        <v>4.5199999999999996</v>
      </c>
      <c r="H30" s="20">
        <v>33.460999999999999</v>
      </c>
      <c r="I30" s="20">
        <v>59.865200000000002</v>
      </c>
      <c r="J30" s="20">
        <f t="shared" si="1"/>
        <v>5.7600000000000016</v>
      </c>
      <c r="K30" s="20">
        <f t="shared" si="3"/>
        <v>41.884</v>
      </c>
      <c r="L30" s="86">
        <f t="shared" si="3"/>
        <v>95.380800000000008</v>
      </c>
    </row>
    <row r="31" spans="2:13" ht="18" customHeight="1" x14ac:dyDescent="0.2">
      <c r="B31" s="15">
        <v>27</v>
      </c>
      <c r="C31" s="64" t="s">
        <v>62</v>
      </c>
      <c r="D31" s="20">
        <f>'income '!J31-expenditure!J31</f>
        <v>73.989999999999981</v>
      </c>
      <c r="E31" s="20">
        <f>'income '!K31-expenditure!K31</f>
        <v>86.308000000000021</v>
      </c>
      <c r="F31" s="20">
        <f>'income '!L31-expenditure!L31</f>
        <v>104.44999999999999</v>
      </c>
      <c r="G31" s="20">
        <v>48.81</v>
      </c>
      <c r="H31" s="20">
        <v>36.418999999999997</v>
      </c>
      <c r="I31" s="20">
        <v>13.087999999999999</v>
      </c>
      <c r="J31" s="20">
        <f>D31-G31-0.02</f>
        <v>25.159999999999979</v>
      </c>
      <c r="K31" s="20">
        <f t="shared" si="3"/>
        <v>49.889000000000024</v>
      </c>
      <c r="L31" s="86">
        <f t="shared" si="3"/>
        <v>91.361999999999995</v>
      </c>
    </row>
    <row r="32" spans="2:13" ht="18" customHeight="1" x14ac:dyDescent="0.2">
      <c r="B32" s="15">
        <v>28</v>
      </c>
      <c r="C32" s="64" t="s">
        <v>78</v>
      </c>
      <c r="D32" s="20">
        <f>'income '!J32-expenditure!J32</f>
        <v>3.9712000000000103</v>
      </c>
      <c r="E32" s="20">
        <f>'income '!K32-expenditure!K32</f>
        <v>19.503000000000014</v>
      </c>
      <c r="F32" s="20">
        <f>'income '!L32-expenditure!L32</f>
        <v>3.958500000000015</v>
      </c>
      <c r="G32" s="20">
        <v>3.1</v>
      </c>
      <c r="H32" s="20">
        <v>15.48</v>
      </c>
      <c r="I32" s="20">
        <v>4.492</v>
      </c>
      <c r="J32" s="20">
        <f t="shared" ref="J32:J37" si="4">D32-G32</f>
        <v>0.87120000000001019</v>
      </c>
      <c r="K32" s="20">
        <f t="shared" si="3"/>
        <v>4.0230000000000139</v>
      </c>
      <c r="L32" s="86">
        <f t="shared" si="3"/>
        <v>-0.53349999999998499</v>
      </c>
    </row>
    <row r="33" spans="2:12" ht="18" customHeight="1" x14ac:dyDescent="0.2">
      <c r="B33" s="15">
        <v>29</v>
      </c>
      <c r="C33" s="64" t="s">
        <v>49</v>
      </c>
      <c r="D33" s="20">
        <f>'income '!J33-expenditure!J33</f>
        <v>-1.71</v>
      </c>
      <c r="E33" s="20" t="s">
        <v>105</v>
      </c>
      <c r="F33" s="20" t="s">
        <v>105</v>
      </c>
      <c r="G33" s="20">
        <v>0.06</v>
      </c>
      <c r="H33" s="20" t="s">
        <v>105</v>
      </c>
      <c r="I33" s="20" t="s">
        <v>105</v>
      </c>
      <c r="J33" s="20">
        <f t="shared" si="4"/>
        <v>-1.77</v>
      </c>
      <c r="K33" s="20" t="s">
        <v>105</v>
      </c>
      <c r="L33" s="86" t="s">
        <v>105</v>
      </c>
    </row>
    <row r="34" spans="2:12" ht="18" customHeight="1" x14ac:dyDescent="0.2">
      <c r="B34" s="15">
        <v>30</v>
      </c>
      <c r="C34" s="64" t="s">
        <v>7</v>
      </c>
      <c r="D34" s="20">
        <f>'income '!J34-expenditure!J34</f>
        <v>68.710000000000008</v>
      </c>
      <c r="E34" s="20">
        <f>'income '!K34-expenditure!K34</f>
        <v>79.805999999999983</v>
      </c>
      <c r="F34" s="20">
        <f>'income '!L34-expenditure!L34</f>
        <v>70.566599999999994</v>
      </c>
      <c r="G34" s="20">
        <v>34.549999999999997</v>
      </c>
      <c r="H34" s="20">
        <v>34.82</v>
      </c>
      <c r="I34" s="20">
        <v>28.876999999999999</v>
      </c>
      <c r="J34" s="20">
        <f t="shared" si="4"/>
        <v>34.160000000000011</v>
      </c>
      <c r="K34" s="20">
        <f t="shared" ref="K34:L40" si="5">E34-H34</f>
        <v>44.985999999999983</v>
      </c>
      <c r="L34" s="86">
        <f t="shared" si="5"/>
        <v>41.689599999999999</v>
      </c>
    </row>
    <row r="35" spans="2:12" ht="18" customHeight="1" x14ac:dyDescent="0.2">
      <c r="B35" s="15">
        <v>31</v>
      </c>
      <c r="C35" s="64" t="s">
        <v>54</v>
      </c>
      <c r="D35" s="20">
        <f>'income '!J35-expenditure!J35</f>
        <v>502.53999999999974</v>
      </c>
      <c r="E35" s="20">
        <f>'income '!K35-expenditure!K35</f>
        <v>770.66799999999967</v>
      </c>
      <c r="F35" s="20">
        <f>'income '!L35-expenditure!L35</f>
        <v>1250.0301000000004</v>
      </c>
      <c r="G35" s="20">
        <v>219.56</v>
      </c>
      <c r="H35" s="20">
        <v>331.28100000000001</v>
      </c>
      <c r="I35" s="20">
        <v>519.92139999999995</v>
      </c>
      <c r="J35" s="20">
        <f t="shared" si="4"/>
        <v>282.97999999999973</v>
      </c>
      <c r="K35" s="20">
        <f t="shared" si="5"/>
        <v>439.38699999999966</v>
      </c>
      <c r="L35" s="86">
        <f t="shared" si="5"/>
        <v>730.10870000000045</v>
      </c>
    </row>
    <row r="36" spans="2:12" ht="18" customHeight="1" x14ac:dyDescent="0.2">
      <c r="B36" s="15">
        <v>32</v>
      </c>
      <c r="C36" s="64" t="s">
        <v>88</v>
      </c>
      <c r="D36" s="20">
        <f>'income '!J36-expenditure!J36</f>
        <v>853.66299999999978</v>
      </c>
      <c r="E36" s="20">
        <f>'income '!K36-expenditure!K36</f>
        <v>866.80499999999984</v>
      </c>
      <c r="F36" s="20">
        <f>'income '!L36-expenditure!L36</f>
        <v>1371.0800100000006</v>
      </c>
      <c r="G36" s="20">
        <v>345.24</v>
      </c>
      <c r="H36" s="20">
        <v>464.577</v>
      </c>
      <c r="I36" s="20">
        <v>654.69000000000005</v>
      </c>
      <c r="J36" s="20">
        <f t="shared" si="4"/>
        <v>508.42299999999977</v>
      </c>
      <c r="K36" s="20">
        <f t="shared" si="5"/>
        <v>402.22799999999984</v>
      </c>
      <c r="L36" s="86">
        <f t="shared" si="5"/>
        <v>716.39001000000053</v>
      </c>
    </row>
    <row r="37" spans="2:12" ht="18" customHeight="1" x14ac:dyDescent="0.2">
      <c r="B37" s="15">
        <v>33</v>
      </c>
      <c r="C37" s="64" t="s">
        <v>83</v>
      </c>
      <c r="D37" s="20">
        <f>'income '!J37-expenditure!J37</f>
        <v>11.435000000000002</v>
      </c>
      <c r="E37" s="20">
        <f>'income '!K37-expenditure!K37</f>
        <v>76.508900000000011</v>
      </c>
      <c r="F37" s="20">
        <f>'income '!L37-expenditure!L37</f>
        <v>173.50300000000001</v>
      </c>
      <c r="G37" s="20">
        <v>93.486000000000004</v>
      </c>
      <c r="H37" s="20">
        <v>163.18</v>
      </c>
      <c r="I37" s="20">
        <v>111.88500000000001</v>
      </c>
      <c r="J37" s="20">
        <f t="shared" si="4"/>
        <v>-82.051000000000002</v>
      </c>
      <c r="K37" s="20">
        <f t="shared" si="5"/>
        <v>-86.671099999999996</v>
      </c>
      <c r="L37" s="86">
        <f t="shared" si="5"/>
        <v>61.618000000000009</v>
      </c>
    </row>
    <row r="38" spans="2:12" ht="18" customHeight="1" x14ac:dyDescent="0.2">
      <c r="B38" s="15">
        <v>34</v>
      </c>
      <c r="C38" s="64" t="s">
        <v>114</v>
      </c>
      <c r="D38" s="20" t="s">
        <v>105</v>
      </c>
      <c r="E38" s="20">
        <f>'income '!K38-expenditure!K38</f>
        <v>1.2899999999999991</v>
      </c>
      <c r="F38" s="20">
        <f>'income '!L38-expenditure!L38</f>
        <v>0.3230000000000004</v>
      </c>
      <c r="G38" s="20" t="s">
        <v>105</v>
      </c>
      <c r="H38" s="20">
        <v>1.577</v>
      </c>
      <c r="I38" s="20">
        <v>0.8992</v>
      </c>
      <c r="J38" s="20" t="s">
        <v>105</v>
      </c>
      <c r="K38" s="20">
        <f t="shared" si="5"/>
        <v>-0.28700000000000081</v>
      </c>
      <c r="L38" s="86">
        <f t="shared" si="5"/>
        <v>-0.5761999999999996</v>
      </c>
    </row>
    <row r="39" spans="2:12" ht="18" customHeight="1" x14ac:dyDescent="0.2">
      <c r="B39" s="15">
        <v>35</v>
      </c>
      <c r="C39" s="64" t="s">
        <v>61</v>
      </c>
      <c r="D39" s="20">
        <f>'income '!J39-expenditure!J39</f>
        <v>1.7600000000000016</v>
      </c>
      <c r="E39" s="20">
        <f>'income '!K39-expenditure!K39</f>
        <v>8.27</v>
      </c>
      <c r="F39" s="20">
        <f>'income '!L39-expenditure!L39</f>
        <v>18.777199999999997</v>
      </c>
      <c r="G39" s="20">
        <v>0.25</v>
      </c>
      <c r="H39" s="20">
        <v>0.14000000000000001</v>
      </c>
      <c r="I39" s="20">
        <v>3.3239999999999998</v>
      </c>
      <c r="J39" s="20">
        <f t="shared" ref="J39:J45" si="6">D39-G39</f>
        <v>1.5100000000000016</v>
      </c>
      <c r="K39" s="20">
        <f t="shared" si="5"/>
        <v>8.129999999999999</v>
      </c>
      <c r="L39" s="86">
        <f t="shared" si="5"/>
        <v>15.453199999999997</v>
      </c>
    </row>
    <row r="40" spans="2:12" ht="18" customHeight="1" x14ac:dyDescent="0.2">
      <c r="B40" s="15">
        <v>36</v>
      </c>
      <c r="C40" s="64" t="s">
        <v>68</v>
      </c>
      <c r="D40" s="20">
        <f>'income '!J40-expenditure!J40</f>
        <v>1.9499999999999886</v>
      </c>
      <c r="E40" s="20">
        <f>'income '!K40-expenditure!K40</f>
        <v>14.709999999999994</v>
      </c>
      <c r="F40" s="20">
        <f>'income '!L40-expenditure!L40</f>
        <v>18.531499999999994</v>
      </c>
      <c r="G40" s="20">
        <v>1.86</v>
      </c>
      <c r="H40" s="20">
        <v>22.28</v>
      </c>
      <c r="I40" s="20">
        <v>5.6783999999999999</v>
      </c>
      <c r="J40" s="20">
        <f t="shared" si="6"/>
        <v>8.9999999999988534E-2</v>
      </c>
      <c r="K40" s="20">
        <f t="shared" si="5"/>
        <v>-7.5700000000000074</v>
      </c>
      <c r="L40" s="86">
        <f t="shared" si="5"/>
        <v>12.853099999999994</v>
      </c>
    </row>
    <row r="41" spans="2:12" ht="18" customHeight="1" x14ac:dyDescent="0.2">
      <c r="B41" s="15">
        <v>37</v>
      </c>
      <c r="C41" s="64" t="s">
        <v>44</v>
      </c>
      <c r="D41" s="20">
        <f>'income '!J41-expenditure!J41</f>
        <v>660.31</v>
      </c>
      <c r="E41" s="20">
        <f>'income '!K41-expenditure!K41</f>
        <v>1321.2745</v>
      </c>
      <c r="F41" s="20" t="s">
        <v>124</v>
      </c>
      <c r="G41" s="20">
        <v>293.35000000000002</v>
      </c>
      <c r="H41" s="20">
        <v>576.64800000000002</v>
      </c>
      <c r="I41" s="20" t="s">
        <v>124</v>
      </c>
      <c r="J41" s="20">
        <f t="shared" si="6"/>
        <v>366.95999999999992</v>
      </c>
      <c r="K41" s="20">
        <v>744.62699999999995</v>
      </c>
      <c r="L41" s="20" t="s">
        <v>124</v>
      </c>
    </row>
    <row r="42" spans="2:12" ht="18" customHeight="1" x14ac:dyDescent="0.2">
      <c r="B42" s="15">
        <v>38</v>
      </c>
      <c r="C42" s="64" t="s">
        <v>73</v>
      </c>
      <c r="D42" s="20">
        <f>'income '!J42-expenditure!J42</f>
        <v>37.649999999999977</v>
      </c>
      <c r="E42" s="20">
        <f>'income '!K42-expenditure!K42</f>
        <v>-16.812999999999874</v>
      </c>
      <c r="F42" s="20">
        <f>'income '!L42-expenditure!L42</f>
        <v>-62.570600000000013</v>
      </c>
      <c r="G42" s="20">
        <v>16.829999999999998</v>
      </c>
      <c r="H42" s="20">
        <v>26.434000000000001</v>
      </c>
      <c r="I42" s="20">
        <v>24.629899999999999</v>
      </c>
      <c r="J42" s="20">
        <f t="shared" si="6"/>
        <v>20.819999999999979</v>
      </c>
      <c r="K42" s="20">
        <f t="shared" ref="K42:L49" si="7">E42-H42</f>
        <v>-43.246999999999872</v>
      </c>
      <c r="L42" s="86">
        <f t="shared" si="7"/>
        <v>-87.200500000000005</v>
      </c>
    </row>
    <row r="43" spans="2:12" ht="18" customHeight="1" x14ac:dyDescent="0.2">
      <c r="B43" s="15">
        <v>39</v>
      </c>
      <c r="C43" s="64" t="s">
        <v>50</v>
      </c>
      <c r="D43" s="20">
        <f>'income '!J43-expenditure!J43</f>
        <v>140.54000000000008</v>
      </c>
      <c r="E43" s="20">
        <f>'income '!K43-expenditure!K43</f>
        <v>136.1930000000001</v>
      </c>
      <c r="F43" s="20">
        <f>'income '!L43-expenditure!L43</f>
        <v>172.71300000000008</v>
      </c>
      <c r="G43" s="20">
        <v>72.7</v>
      </c>
      <c r="H43" s="20">
        <v>80.739999999999995</v>
      </c>
      <c r="I43" s="20">
        <v>72.56</v>
      </c>
      <c r="J43" s="20">
        <f t="shared" si="6"/>
        <v>67.840000000000074</v>
      </c>
      <c r="K43" s="20">
        <f t="shared" si="7"/>
        <v>55.453000000000102</v>
      </c>
      <c r="L43" s="86">
        <f t="shared" si="7"/>
        <v>100.15300000000008</v>
      </c>
    </row>
    <row r="44" spans="2:12" ht="18" customHeight="1" x14ac:dyDescent="0.2">
      <c r="B44" s="15">
        <v>40</v>
      </c>
      <c r="C44" s="64" t="s">
        <v>8</v>
      </c>
      <c r="D44" s="20">
        <f>'income '!J44-expenditure!J44</f>
        <v>93.220000000000027</v>
      </c>
      <c r="E44" s="20">
        <f>'income '!K44-expenditure!K44</f>
        <v>162.22220000000004</v>
      </c>
      <c r="F44" s="20">
        <f>'income '!L44-expenditure!L44</f>
        <v>124.24940000000004</v>
      </c>
      <c r="G44" s="20">
        <v>43.235500000000002</v>
      </c>
      <c r="H44" s="20">
        <v>93.138000000000005</v>
      </c>
      <c r="I44" s="20">
        <v>22.4513</v>
      </c>
      <c r="J44" s="20">
        <f t="shared" si="6"/>
        <v>49.984500000000025</v>
      </c>
      <c r="K44" s="20">
        <f t="shared" si="7"/>
        <v>69.084200000000038</v>
      </c>
      <c r="L44" s="86">
        <f t="shared" si="7"/>
        <v>101.79810000000003</v>
      </c>
    </row>
    <row r="45" spans="2:12" ht="18" customHeight="1" x14ac:dyDescent="0.2">
      <c r="B45" s="15">
        <v>41</v>
      </c>
      <c r="C45" s="64" t="s">
        <v>51</v>
      </c>
      <c r="D45" s="20">
        <f>'income '!J45-expenditure!J45</f>
        <v>7.92</v>
      </c>
      <c r="E45" s="20">
        <f>'income '!K45-expenditure!K45</f>
        <v>11.172000000000001</v>
      </c>
      <c r="F45" s="20">
        <f>'income '!L45-expenditure!L45</f>
        <v>5.0608000000000004</v>
      </c>
      <c r="G45" s="20">
        <v>3.43</v>
      </c>
      <c r="H45" s="20">
        <v>5.0069999999999997</v>
      </c>
      <c r="I45" s="20">
        <v>2.4213</v>
      </c>
      <c r="J45" s="20">
        <f t="shared" si="6"/>
        <v>4.49</v>
      </c>
      <c r="K45" s="20">
        <f t="shared" si="7"/>
        <v>6.1650000000000009</v>
      </c>
      <c r="L45" s="86">
        <f t="shared" si="7"/>
        <v>2.6395000000000004</v>
      </c>
    </row>
    <row r="46" spans="2:12" ht="18" customHeight="1" x14ac:dyDescent="0.2">
      <c r="B46" s="15">
        <v>42</v>
      </c>
      <c r="C46" s="64" t="s">
        <v>9</v>
      </c>
      <c r="D46" s="20">
        <f>'income '!J46-expenditure!J46</f>
        <v>6199.48</v>
      </c>
      <c r="E46" s="20">
        <f>'income '!K46-expenditure!K46</f>
        <v>5730.1299999999992</v>
      </c>
      <c r="F46" s="20">
        <f>'income '!L46-expenditure!L46</f>
        <v>3659.688299999998</v>
      </c>
      <c r="G46" s="5">
        <v>1578.09</v>
      </c>
      <c r="H46" s="5">
        <v>2000.32</v>
      </c>
      <c r="I46" s="5">
        <v>1787.0319999999999</v>
      </c>
      <c r="J46" s="20">
        <f>D46-G46-0.02</f>
        <v>4621.369999999999</v>
      </c>
      <c r="K46" s="20">
        <f t="shared" si="7"/>
        <v>3729.8099999999995</v>
      </c>
      <c r="L46" s="86">
        <f t="shared" si="7"/>
        <v>1872.6562999999981</v>
      </c>
    </row>
    <row r="47" spans="2:12" ht="18" customHeight="1" x14ac:dyDescent="0.2">
      <c r="B47" s="15">
        <v>43</v>
      </c>
      <c r="C47" s="64" t="s">
        <v>87</v>
      </c>
      <c r="D47" s="20">
        <f>'income '!J47-expenditure!J47</f>
        <v>851.36999999999989</v>
      </c>
      <c r="E47" s="20">
        <f>'income '!K47-expenditure!K47</f>
        <v>972.20800000000008</v>
      </c>
      <c r="F47" s="20">
        <f>'income '!L47-expenditure!L47</f>
        <v>1154.8753000000002</v>
      </c>
      <c r="G47" s="20">
        <v>371.41</v>
      </c>
      <c r="H47" s="20">
        <v>461.3</v>
      </c>
      <c r="I47" s="20">
        <v>498.52429999999998</v>
      </c>
      <c r="J47" s="20">
        <f>D47-G47</f>
        <v>479.95999999999987</v>
      </c>
      <c r="K47" s="20">
        <f t="shared" si="7"/>
        <v>510.90800000000007</v>
      </c>
      <c r="L47" s="86">
        <f t="shared" si="7"/>
        <v>656.35100000000011</v>
      </c>
    </row>
    <row r="48" spans="2:12" ht="18" customHeight="1" x14ac:dyDescent="0.2">
      <c r="B48" s="15">
        <v>44</v>
      </c>
      <c r="C48" s="64" t="s">
        <v>40</v>
      </c>
      <c r="D48" s="20">
        <f>'income '!J48-expenditure!J48</f>
        <v>24.069999999999993</v>
      </c>
      <c r="E48" s="20">
        <f>'income '!K48-expenditure!K48</f>
        <v>37.913200000000003</v>
      </c>
      <c r="F48" s="20">
        <f>'income '!L48-expenditure!L48</f>
        <v>37.351899999999986</v>
      </c>
      <c r="G48" s="20">
        <v>0.4</v>
      </c>
      <c r="H48" s="20">
        <v>18.766999999999999</v>
      </c>
      <c r="I48" s="20">
        <v>13.470499999999999</v>
      </c>
      <c r="J48" s="20">
        <f>D48-G48</f>
        <v>23.669999999999995</v>
      </c>
      <c r="K48" s="20">
        <f t="shared" si="7"/>
        <v>19.146200000000004</v>
      </c>
      <c r="L48" s="86">
        <v>23.882000000000001</v>
      </c>
    </row>
    <row r="49" spans="2:12" ht="18" customHeight="1" thickBot="1" x14ac:dyDescent="0.25">
      <c r="B49" s="89">
        <v>45</v>
      </c>
      <c r="C49" s="90" t="s">
        <v>52</v>
      </c>
      <c r="D49" s="91">
        <f>'income '!J49-expenditure!J49</f>
        <v>46.890000000000043</v>
      </c>
      <c r="E49" s="91">
        <f>'income '!K49-expenditure!K49</f>
        <v>65.722599999999943</v>
      </c>
      <c r="F49" s="91">
        <f>'income '!L49-expenditure!L49</f>
        <v>38.663100000000043</v>
      </c>
      <c r="G49" s="91">
        <v>20.37</v>
      </c>
      <c r="H49" s="91">
        <v>47.806600000000003</v>
      </c>
      <c r="I49" s="91">
        <v>41.147500000000001</v>
      </c>
      <c r="J49" s="91">
        <f>D49-G49</f>
        <v>26.520000000000042</v>
      </c>
      <c r="K49" s="91">
        <f t="shared" si="7"/>
        <v>17.91599999999994</v>
      </c>
      <c r="L49" s="86">
        <f t="shared" si="7"/>
        <v>-2.4843999999999582</v>
      </c>
    </row>
    <row r="50" spans="2:12" ht="19.5" customHeight="1" thickBot="1" x14ac:dyDescent="0.25">
      <c r="B50" s="131" t="s">
        <v>37</v>
      </c>
      <c r="C50" s="132"/>
      <c r="D50" s="7">
        <f>SUM(D5:D49)</f>
        <v>48495.203199999989</v>
      </c>
      <c r="E50" s="7">
        <f t="shared" ref="E50:L50" si="8">SUM(E5:E49)</f>
        <v>48129.280699999974</v>
      </c>
      <c r="F50" s="7">
        <f t="shared" si="8"/>
        <v>51407.246609999987</v>
      </c>
      <c r="G50" s="7">
        <f t="shared" si="8"/>
        <v>18351.817500000001</v>
      </c>
      <c r="H50" s="7">
        <f t="shared" si="8"/>
        <v>21244.252700000005</v>
      </c>
      <c r="I50" s="7">
        <f t="shared" si="8"/>
        <v>21851.0288</v>
      </c>
      <c r="J50" s="7">
        <f t="shared" si="8"/>
        <v>30143.345699999994</v>
      </c>
      <c r="K50" s="7">
        <f t="shared" si="8"/>
        <v>26885.0255</v>
      </c>
      <c r="L50" s="96">
        <f t="shared" si="8"/>
        <v>29556.216209999995</v>
      </c>
    </row>
    <row r="51" spans="2:12" ht="19.5" customHeight="1" x14ac:dyDescent="0.2">
      <c r="B51" s="25"/>
      <c r="C51" s="25"/>
      <c r="D51" s="8"/>
      <c r="E51" s="8"/>
      <c r="F51" s="8"/>
      <c r="G51" s="8"/>
      <c r="H51" s="8"/>
      <c r="I51" s="8"/>
      <c r="J51" s="8"/>
      <c r="K51" s="8"/>
      <c r="L51" s="8"/>
    </row>
    <row r="52" spans="2:12" ht="19.5" hidden="1" customHeight="1" x14ac:dyDescent="0.2">
      <c r="B52" s="41"/>
      <c r="C52" s="41"/>
      <c r="D52" s="115"/>
      <c r="E52" s="116">
        <f>SUM(E50-D50)/D50*100</f>
        <v>-0.75455400916850934</v>
      </c>
      <c r="F52" s="116">
        <f>SUM(F50-E50)/E50*100</f>
        <v>6.810751921335104</v>
      </c>
      <c r="G52" s="116"/>
      <c r="H52" s="116">
        <f>SUM(H50-G50)/G50*100</f>
        <v>15.761028573872879</v>
      </c>
      <c r="I52" s="116">
        <f>SUM(I50-H50)/H50*100</f>
        <v>2.8561894295297821</v>
      </c>
      <c r="J52" s="116"/>
      <c r="K52" s="116">
        <f>SUM(K50-J50)/J50*100</f>
        <v>-10.809417880908939</v>
      </c>
      <c r="L52" s="116">
        <f>SUM(L50-K50)/K50*100</f>
        <v>9.9356078721219561</v>
      </c>
    </row>
    <row r="53" spans="2:12" x14ac:dyDescent="0.2">
      <c r="B53" s="140">
        <v>5</v>
      </c>
      <c r="C53" s="140"/>
      <c r="D53" s="140"/>
      <c r="E53" s="140"/>
      <c r="F53" s="140"/>
      <c r="G53" s="140"/>
      <c r="H53" s="140"/>
      <c r="I53" s="140"/>
      <c r="J53" s="140"/>
      <c r="K53" s="140"/>
      <c r="L53" s="140"/>
    </row>
    <row r="54" spans="2:12" hidden="1" x14ac:dyDescent="0.2">
      <c r="D54" s="21" t="e">
        <f>(D50-#REF!)/#REF!*100</f>
        <v>#REF!</v>
      </c>
      <c r="E54" s="21">
        <f>(E50-D50)/D50*100</f>
        <v>-0.75455400916850934</v>
      </c>
      <c r="F54" s="21"/>
      <c r="G54" s="21" t="e">
        <f>(G50-#REF!)/#REF!*100</f>
        <v>#REF!</v>
      </c>
      <c r="H54" s="21">
        <f>(H50-G50)/G50*100</f>
        <v>15.761028573872879</v>
      </c>
      <c r="I54" s="21"/>
      <c r="J54" s="21" t="e">
        <f>(J50-#REF!)/#REF!*100</f>
        <v>#REF!</v>
      </c>
      <c r="K54" s="21">
        <f>(K50-J50)/J50*100</f>
        <v>-10.809417880908939</v>
      </c>
    </row>
  </sheetData>
  <sortState xmlns:xlrd2="http://schemas.microsoft.com/office/spreadsheetml/2017/richdata2" ref="C5:D50">
    <sortCondition ref="C5:C50"/>
  </sortState>
  <mergeCells count="9">
    <mergeCell ref="B53:L53"/>
    <mergeCell ref="B1:L1"/>
    <mergeCell ref="J3:L3"/>
    <mergeCell ref="B2:K2"/>
    <mergeCell ref="B50:C50"/>
    <mergeCell ref="D3:F3"/>
    <mergeCell ref="C3:C4"/>
    <mergeCell ref="B3:B4"/>
    <mergeCell ref="G3:I3"/>
  </mergeCells>
  <phoneticPr fontId="0" type="noConversion"/>
  <printOptions horizontalCentered="1" verticalCentered="1"/>
  <pageMargins left="0.23622047244094491" right="0.23622047244094491" top="0.39370078740157483" bottom="0.74803149606299213" header="0.31496062992125984" footer="0.31496062992125984"/>
  <pageSetup paperSize="9" scale="66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P52"/>
  <sheetViews>
    <sheetView view="pageBreakPreview" topLeftCell="A16" zoomScale="85" zoomScaleNormal="100" zoomScaleSheetLayoutView="85" workbookViewId="0">
      <selection activeCell="L41" sqref="L41"/>
    </sheetView>
  </sheetViews>
  <sheetFormatPr defaultColWidth="8.7109375" defaultRowHeight="15.75" x14ac:dyDescent="0.2"/>
  <cols>
    <col min="1" max="1" width="8.7109375" style="1"/>
    <col min="2" max="2" width="7.42578125" style="3" customWidth="1"/>
    <col min="3" max="3" width="48.5703125" style="3" customWidth="1"/>
    <col min="4" max="4" width="10.85546875" style="1" customWidth="1"/>
    <col min="5" max="6" width="11" style="1" customWidth="1"/>
    <col min="7" max="9" width="11.28515625" style="1" customWidth="1"/>
    <col min="10" max="11" width="10.28515625" style="1" customWidth="1"/>
    <col min="12" max="12" width="10.5703125" style="1" customWidth="1"/>
    <col min="13" max="16384" width="8.7109375" style="1"/>
  </cols>
  <sheetData>
    <row r="1" spans="2:16" ht="21" customHeight="1" x14ac:dyDescent="0.2">
      <c r="B1" s="124" t="s">
        <v>31</v>
      </c>
      <c r="C1" s="125"/>
      <c r="D1" s="125"/>
      <c r="E1" s="125"/>
      <c r="F1" s="125"/>
      <c r="G1" s="125"/>
      <c r="H1" s="125"/>
      <c r="I1" s="125"/>
      <c r="J1" s="125"/>
      <c r="K1" s="125"/>
      <c r="L1" s="126"/>
    </row>
    <row r="2" spans="2:16" ht="18" customHeight="1" x14ac:dyDescent="0.2">
      <c r="B2" s="127" t="s">
        <v>43</v>
      </c>
      <c r="C2" s="158"/>
      <c r="D2" s="156"/>
      <c r="E2" s="156"/>
      <c r="F2" s="156"/>
      <c r="G2" s="156"/>
      <c r="H2" s="156"/>
      <c r="I2" s="156"/>
      <c r="J2" s="156"/>
      <c r="K2" s="156"/>
      <c r="L2" s="117" t="s">
        <v>42</v>
      </c>
    </row>
    <row r="3" spans="2:16" ht="33.6" customHeight="1" x14ac:dyDescent="0.2">
      <c r="B3" s="136" t="s">
        <v>58</v>
      </c>
      <c r="C3" s="134" t="s">
        <v>10</v>
      </c>
      <c r="D3" s="154" t="s">
        <v>18</v>
      </c>
      <c r="E3" s="154"/>
      <c r="F3" s="154"/>
      <c r="G3" s="154" t="s">
        <v>19</v>
      </c>
      <c r="H3" s="154"/>
      <c r="I3" s="154"/>
      <c r="J3" s="154" t="s">
        <v>20</v>
      </c>
      <c r="K3" s="154"/>
      <c r="L3" s="155"/>
    </row>
    <row r="4" spans="2:16" ht="18" customHeight="1" thickBot="1" x14ac:dyDescent="0.25">
      <c r="B4" s="157"/>
      <c r="C4" s="141"/>
      <c r="D4" s="100">
        <v>2023</v>
      </c>
      <c r="E4" s="100">
        <v>2024</v>
      </c>
      <c r="F4" s="100">
        <v>2025</v>
      </c>
      <c r="G4" s="100">
        <v>2023</v>
      </c>
      <c r="H4" s="100">
        <v>2024</v>
      </c>
      <c r="I4" s="100">
        <v>2025</v>
      </c>
      <c r="J4" s="100">
        <v>2023</v>
      </c>
      <c r="K4" s="100">
        <v>2024</v>
      </c>
      <c r="L4" s="101">
        <v>2025</v>
      </c>
    </row>
    <row r="5" spans="2:16" ht="18" customHeight="1" x14ac:dyDescent="0.2">
      <c r="B5" s="16">
        <v>1</v>
      </c>
      <c r="C5" s="65" t="s">
        <v>48</v>
      </c>
      <c r="D5" s="10">
        <f>depo!J5/depo!D5*100</f>
        <v>41.046581972171808</v>
      </c>
      <c r="E5" s="10">
        <f>depo!K5/depo!E5*100</f>
        <v>30.796038316736034</v>
      </c>
      <c r="F5" s="10">
        <f>depo!L5/depo!F5*100</f>
        <v>29.580406104386071</v>
      </c>
      <c r="G5" s="10">
        <f>depo!G5/depo!D5*100</f>
        <v>45.122504537205081</v>
      </c>
      <c r="H5" s="10">
        <f>depo!H5/depo!E5*100</f>
        <v>33.524706349707934</v>
      </c>
      <c r="I5" s="10">
        <f>depo!I5/depo!F5*100</f>
        <v>53.327466108917513</v>
      </c>
      <c r="J5" s="10">
        <f>('income '!D5-expenditure!D5)/'assets '!D5*100</f>
        <v>3.1254847215759267</v>
      </c>
      <c r="K5" s="71">
        <f>('income '!E5-expenditure!E5)/'assets '!E5*100</f>
        <v>3.2709498678924898</v>
      </c>
      <c r="L5" s="118">
        <f>('income '!F5-expenditure!F5)/'assets '!F5*100</f>
        <v>4.8732374785674866</v>
      </c>
      <c r="N5" s="21"/>
      <c r="O5" s="21"/>
      <c r="P5" s="21"/>
    </row>
    <row r="6" spans="2:16" ht="18" customHeight="1" x14ac:dyDescent="0.2">
      <c r="B6" s="15">
        <v>2</v>
      </c>
      <c r="C6" s="64" t="s">
        <v>34</v>
      </c>
      <c r="D6" s="4">
        <f>depo!J6/depo!D6*100</f>
        <v>123.53790344158149</v>
      </c>
      <c r="E6" s="4">
        <f>depo!K6/depo!E6*100</f>
        <v>114.62937968722974</v>
      </c>
      <c r="F6" s="4">
        <f>depo!L6/depo!F6*100</f>
        <v>120.10950643385927</v>
      </c>
      <c r="G6" s="4">
        <f>depo!G6/depo!D6*100</f>
        <v>127.43091636540125</v>
      </c>
      <c r="H6" s="4">
        <f>depo!H6/depo!E6*100</f>
        <v>111.98597159142807</v>
      </c>
      <c r="I6" s="4">
        <f>depo!I6/depo!F6*100</f>
        <v>90.36348229257564</v>
      </c>
      <c r="J6" s="4">
        <f>('income '!D6-expenditure!D6)/'assets '!D6*100</f>
        <v>4.7941659018364042</v>
      </c>
      <c r="K6" s="4">
        <f>('income '!E6-expenditure!E6)/'assets '!E6*100</f>
        <v>4.2945549245191259</v>
      </c>
      <c r="L6" s="112">
        <f>('income '!F6-expenditure!F6)/'assets '!F6*100</f>
        <v>3.7095756611030852</v>
      </c>
      <c r="N6" s="21"/>
      <c r="O6" s="21"/>
      <c r="P6" s="21"/>
    </row>
    <row r="7" spans="2:16" ht="18" customHeight="1" x14ac:dyDescent="0.2">
      <c r="B7" s="15">
        <v>3</v>
      </c>
      <c r="C7" s="64" t="s">
        <v>80</v>
      </c>
      <c r="D7" s="4">
        <f>depo!J7/depo!D7*100</f>
        <v>52.284690159361688</v>
      </c>
      <c r="E7" s="4">
        <f>depo!K7/depo!E7*100</f>
        <v>48.693353198993591</v>
      </c>
      <c r="F7" s="4">
        <f>depo!L7/depo!F7*100</f>
        <v>53.885276352665066</v>
      </c>
      <c r="G7" s="4">
        <f>depo!G7/depo!D7*100</f>
        <v>124.96259676591926</v>
      </c>
      <c r="H7" s="4">
        <f>depo!H7/depo!E7*100</f>
        <v>222.98545226558826</v>
      </c>
      <c r="I7" s="4">
        <f>depo!I7/depo!F7*100</f>
        <v>284.17402631016677</v>
      </c>
      <c r="J7" s="12">
        <f>('income '!D7-expenditure!D7)/'assets '!D7*100</f>
        <v>2.0800221708760169</v>
      </c>
      <c r="K7" s="4">
        <f>('income '!E7-expenditure!E7)/'assets '!E7*100</f>
        <v>1.6787506831821053</v>
      </c>
      <c r="L7" s="112">
        <f>('income '!F7-expenditure!F7)/'assets '!F7*100</f>
        <v>1.3330124237247256</v>
      </c>
      <c r="N7" s="21"/>
      <c r="O7" s="21"/>
      <c r="P7" s="21"/>
    </row>
    <row r="8" spans="2:16" ht="18" customHeight="1" x14ac:dyDescent="0.2">
      <c r="B8" s="15">
        <v>4</v>
      </c>
      <c r="C8" s="64" t="s">
        <v>0</v>
      </c>
      <c r="D8" s="4">
        <f>depo!J8/depo!D8*100</f>
        <v>39.342799023766396</v>
      </c>
      <c r="E8" s="4">
        <f>depo!K8/depo!E8*100</f>
        <v>45.840223516253054</v>
      </c>
      <c r="F8" s="4">
        <f>depo!L8/depo!F8*100</f>
        <v>51.650518172365878</v>
      </c>
      <c r="G8" s="4">
        <f>depo!G8/depo!D8*100</f>
        <v>68.552379118354949</v>
      </c>
      <c r="H8" s="4">
        <f>depo!H8/depo!E8*100</f>
        <v>100.50774953867376</v>
      </c>
      <c r="I8" s="4">
        <f>depo!I8/depo!F8*100</f>
        <v>118.86919171773388</v>
      </c>
      <c r="J8" s="12">
        <f>('income '!D8-expenditure!D8)/'assets '!D8*100</f>
        <v>3.4253400671237597</v>
      </c>
      <c r="K8" s="4">
        <f>('income '!E8-expenditure!E8)/'assets '!E8*100</f>
        <v>3.506636630707348</v>
      </c>
      <c r="L8" s="112">
        <f>('income '!F8-expenditure!F8)/'assets '!F8*100</f>
        <v>2.9659777306370856</v>
      </c>
      <c r="N8" s="21"/>
      <c r="O8" s="21"/>
      <c r="P8" s="21"/>
    </row>
    <row r="9" spans="2:16" ht="18" customHeight="1" x14ac:dyDescent="0.2">
      <c r="B9" s="15">
        <v>5</v>
      </c>
      <c r="C9" s="64" t="s">
        <v>1</v>
      </c>
      <c r="D9" s="4">
        <f>depo!J9/depo!D9*100</f>
        <v>77.24090480594387</v>
      </c>
      <c r="E9" s="4">
        <f>depo!K9/depo!E9*100</f>
        <v>69.472541130302901</v>
      </c>
      <c r="F9" s="4">
        <f>depo!L9/depo!F9*100</f>
        <v>74.56388746910882</v>
      </c>
      <c r="G9" s="4">
        <f>depo!G9/depo!D9*100</f>
        <v>23.816161589084427</v>
      </c>
      <c r="H9" s="4">
        <f>depo!H9/depo!E9*100</f>
        <v>25.644326713639508</v>
      </c>
      <c r="I9" s="4">
        <f>depo!I9/depo!F9*100</f>
        <v>31.644807908145793</v>
      </c>
      <c r="J9" s="4">
        <f>('income '!D9-expenditure!D9)/'assets '!D9*100</f>
        <v>1.9122292377763965</v>
      </c>
      <c r="K9" s="4">
        <f>('income '!E9-expenditure!E9)/'assets '!E9*100</f>
        <v>2.0304832449265282</v>
      </c>
      <c r="L9" s="112">
        <f>('income '!F9-expenditure!F9)/'assets '!F9*100</f>
        <v>2.2644891150718438</v>
      </c>
      <c r="N9" s="21"/>
      <c r="O9" s="21"/>
      <c r="P9" s="21"/>
    </row>
    <row r="10" spans="2:16" ht="18" customHeight="1" x14ac:dyDescent="0.2">
      <c r="B10" s="15">
        <v>6</v>
      </c>
      <c r="C10" s="64" t="s">
        <v>2</v>
      </c>
      <c r="D10" s="4">
        <f>depo!J10/depo!D10*100</f>
        <v>129.78912685337727</v>
      </c>
      <c r="E10" s="4">
        <f>depo!K10/depo!E10*100</f>
        <v>135.14303040741777</v>
      </c>
      <c r="F10" s="4">
        <f>depo!L10/depo!F10*100</f>
        <v>171.10085338488256</v>
      </c>
      <c r="G10" s="4">
        <f>depo!G10/depo!D10*100</f>
        <v>22.279077429983527</v>
      </c>
      <c r="H10" s="4">
        <f>depo!H10/depo!E10*100</f>
        <v>25.802886444047335</v>
      </c>
      <c r="I10" s="4">
        <f>depo!I10/depo!F10*100</f>
        <v>31.773216997964308</v>
      </c>
      <c r="J10" s="4">
        <f>('income '!D10-expenditure!D10)/'assets '!D10*100</f>
        <v>4.586528507909061</v>
      </c>
      <c r="K10" s="4">
        <f>('income '!E10-expenditure!E10)/'assets '!E10*100</f>
        <v>4.9897461454710257</v>
      </c>
      <c r="L10" s="112">
        <f>('income '!F10-expenditure!F10)/'assets '!F10*100</f>
        <v>4.709282522957519</v>
      </c>
      <c r="N10" s="21"/>
      <c r="O10" s="21"/>
      <c r="P10" s="21"/>
    </row>
    <row r="11" spans="2:16" ht="18" customHeight="1" x14ac:dyDescent="0.2">
      <c r="B11" s="15">
        <v>7</v>
      </c>
      <c r="C11" s="64" t="s">
        <v>77</v>
      </c>
      <c r="D11" s="4">
        <f>depo!J11/depo!D11*100</f>
        <v>99.523283472168316</v>
      </c>
      <c r="E11" s="4">
        <f>depo!K11/depo!E11*100</f>
        <v>508.40456293095235</v>
      </c>
      <c r="F11" s="4">
        <f>depo!L11/depo!F11*100</f>
        <v>587.10393190080003</v>
      </c>
      <c r="G11" s="4">
        <f>depo!G11/depo!D11*100</f>
        <v>141.9789209685606</v>
      </c>
      <c r="H11" s="4">
        <f>depo!H11/depo!E11*100</f>
        <v>920.9437259699406</v>
      </c>
      <c r="I11" s="4">
        <f>depo!I11/depo!F11*100</f>
        <v>582.67959021364527</v>
      </c>
      <c r="J11" s="4">
        <f>('income '!D11-expenditure!D11)/'assets '!D11*100</f>
        <v>3.8427852930974677</v>
      </c>
      <c r="K11" s="4">
        <f>('income '!E11-expenditure!E11)/'assets '!E11*100</f>
        <v>6.1794350056140983</v>
      </c>
      <c r="L11" s="112">
        <f>('income '!F11-expenditure!F11)/'assets '!F11*100</f>
        <v>6.5615432293530844</v>
      </c>
      <c r="N11" s="21"/>
      <c r="O11" s="21"/>
      <c r="P11" s="21"/>
    </row>
    <row r="12" spans="2:16" ht="18" customHeight="1" x14ac:dyDescent="0.2">
      <c r="B12" s="15">
        <v>8</v>
      </c>
      <c r="C12" s="64" t="s">
        <v>81</v>
      </c>
      <c r="D12" s="4">
        <f>depo!J12/depo!D12*100</f>
        <v>374.9444691248334</v>
      </c>
      <c r="E12" s="4">
        <f>depo!K12/depo!E12*100</f>
        <v>8.5238532110091736</v>
      </c>
      <c r="F12" s="4">
        <f>depo!L12/depo!F12*100</f>
        <v>10.967363115917209</v>
      </c>
      <c r="G12" s="4">
        <f>depo!G12/depo!D12*100</f>
        <v>1321.3904931141715</v>
      </c>
      <c r="H12" s="4">
        <f>depo!H12/depo!E12*100</f>
        <v>1812.5076452599387</v>
      </c>
      <c r="I12" s="4">
        <f>depo!I12/depo!F12*100</f>
        <v>6069.9862993590059</v>
      </c>
      <c r="J12" s="4">
        <f>('income '!D12-expenditure!D12)/'assets '!D12*100</f>
        <v>4.6409227292210575</v>
      </c>
      <c r="K12" s="4">
        <f>('income '!E12-expenditure!E12)/'assets '!E12*100</f>
        <v>5.9362994175238573</v>
      </c>
      <c r="L12" s="112">
        <f>('income '!F12-expenditure!F12)/'assets '!F12*100</f>
        <v>6.0046719070628569</v>
      </c>
      <c r="N12" s="21"/>
      <c r="O12" s="21"/>
      <c r="P12" s="21"/>
    </row>
    <row r="13" spans="2:16" ht="18" customHeight="1" x14ac:dyDescent="0.2">
      <c r="B13" s="15">
        <v>9</v>
      </c>
      <c r="C13" s="64" t="s">
        <v>3</v>
      </c>
      <c r="D13" s="4">
        <f>depo!J13/depo!D13*100</f>
        <v>74.777927853210429</v>
      </c>
      <c r="E13" s="4">
        <f>depo!K13/depo!E13*100</f>
        <v>41.748002112825233</v>
      </c>
      <c r="F13" s="4">
        <f>depo!L13/depo!F13*100</f>
        <v>52.961626998022091</v>
      </c>
      <c r="G13" s="4">
        <f>depo!G13/depo!D13*100</f>
        <v>232.42340228904527</v>
      </c>
      <c r="H13" s="4">
        <f>depo!H13/depo!E13*100</f>
        <v>153.26807071489162</v>
      </c>
      <c r="I13" s="4">
        <f>depo!I13/depo!F13*100</f>
        <v>222.82913602048828</v>
      </c>
      <c r="J13" s="4">
        <f>('income '!D13-expenditure!D13)/'assets '!D13*100</f>
        <v>2.7753944409412266</v>
      </c>
      <c r="K13" s="4">
        <f>('income '!E13-expenditure!E13)/'assets '!E13*100</f>
        <v>3.0353910192951084</v>
      </c>
      <c r="L13" s="112">
        <f>('income '!F13-expenditure!F13)/'assets '!F13*100</f>
        <v>2.5433715567578909</v>
      </c>
      <c r="N13" s="21"/>
      <c r="O13" s="21"/>
      <c r="P13" s="21"/>
    </row>
    <row r="14" spans="2:16" ht="18" customHeight="1" x14ac:dyDescent="0.2">
      <c r="B14" s="15">
        <v>10</v>
      </c>
      <c r="C14" s="64" t="s">
        <v>4</v>
      </c>
      <c r="D14" s="4">
        <f>depo!J14/depo!D14*100</f>
        <v>61.33504256689649</v>
      </c>
      <c r="E14" s="4">
        <f>depo!K14/depo!E14*100</f>
        <v>66.65379978562305</v>
      </c>
      <c r="F14" s="4">
        <f>depo!L14/depo!F14*100</f>
        <v>57.904841091986448</v>
      </c>
      <c r="G14" s="4">
        <f>depo!G14/depo!D14*100</f>
        <v>150.55645283266327</v>
      </c>
      <c r="H14" s="4">
        <f>depo!H14/depo!E14*100</f>
        <v>156.24178691887954</v>
      </c>
      <c r="I14" s="4">
        <f>depo!I14/depo!F14*100</f>
        <v>184.67935755291242</v>
      </c>
      <c r="J14" s="4">
        <f>('income '!D14-expenditure!D14)/'assets '!D14*100</f>
        <v>1.9332489615784012</v>
      </c>
      <c r="K14" s="4">
        <f>('income '!E14-expenditure!E14)/'assets '!E14*100</f>
        <v>2.2138718051083401</v>
      </c>
      <c r="L14" s="112">
        <f>('income '!F14-expenditure!F14)/'assets '!F14*100</f>
        <v>1.8789573181673558</v>
      </c>
      <c r="N14" s="21"/>
      <c r="O14" s="21"/>
      <c r="P14" s="21"/>
    </row>
    <row r="15" spans="2:16" ht="18" customHeight="1" x14ac:dyDescent="0.2">
      <c r="B15" s="15">
        <v>11</v>
      </c>
      <c r="C15" s="64" t="s">
        <v>47</v>
      </c>
      <c r="D15" s="4">
        <f>depo!J15/depo!D15*100</f>
        <v>33.901846887071265</v>
      </c>
      <c r="E15" s="4">
        <f>depo!K15/depo!E15*100</f>
        <v>35.646407049916199</v>
      </c>
      <c r="F15" s="4">
        <f>depo!L15/depo!F15*100</f>
        <v>36.16496602971862</v>
      </c>
      <c r="G15" s="4">
        <f>depo!G15/depo!D15*100</f>
        <v>78.031475766574601</v>
      </c>
      <c r="H15" s="4">
        <f>depo!H15/depo!E15*100</f>
        <v>57.799607505346096</v>
      </c>
      <c r="I15" s="4">
        <f>depo!I15/depo!F15*100</f>
        <v>66.142394181065285</v>
      </c>
      <c r="J15" s="4">
        <f>('income '!D15-expenditure!D15)/'assets '!D15*100</f>
        <v>4.9992687602121615</v>
      </c>
      <c r="K15" s="4">
        <f>('income '!E15-expenditure!E15)/'assets '!E15*100</f>
        <v>4.1822213036714189</v>
      </c>
      <c r="L15" s="112">
        <f>('income '!F15-expenditure!F15)/'assets '!F15*100</f>
        <v>4.3344737338141544</v>
      </c>
      <c r="N15" s="21"/>
      <c r="O15" s="21"/>
      <c r="P15" s="21"/>
    </row>
    <row r="16" spans="2:16" ht="18" customHeight="1" x14ac:dyDescent="0.2">
      <c r="B16" s="15">
        <v>12</v>
      </c>
      <c r="C16" s="64" t="s">
        <v>65</v>
      </c>
      <c r="D16" s="4">
        <f>depo!J16/depo!D16*100</f>
        <v>151.02272727272728</v>
      </c>
      <c r="E16" s="4">
        <v>0</v>
      </c>
      <c r="F16" s="4">
        <v>0</v>
      </c>
      <c r="G16" s="4">
        <f>depo!G16/depo!D16*100</f>
        <v>106.97860962566845</v>
      </c>
      <c r="H16" s="4">
        <v>0</v>
      </c>
      <c r="I16" s="4">
        <v>0</v>
      </c>
      <c r="J16" s="4">
        <f>('income '!D16-expenditure!D16)/'assets '!D16*100</f>
        <v>7.6538283599352299</v>
      </c>
      <c r="K16" s="4">
        <f>('income '!E16-expenditure!E16)/'assets '!E16*100</f>
        <v>8.5331096629067336</v>
      </c>
      <c r="L16" s="112">
        <f>('income '!F16-expenditure!F16)/'assets '!F16*100</f>
        <v>5.8421264438349283</v>
      </c>
      <c r="N16" s="21"/>
      <c r="O16" s="21"/>
      <c r="P16" s="21"/>
    </row>
    <row r="17" spans="2:16" ht="18" customHeight="1" x14ac:dyDescent="0.2">
      <c r="B17" s="15">
        <v>13</v>
      </c>
      <c r="C17" s="64" t="s">
        <v>41</v>
      </c>
      <c r="D17" s="4">
        <f>depo!J17/depo!D17*100</f>
        <v>60.505216561289402</v>
      </c>
      <c r="E17" s="4">
        <f>depo!K17/depo!E17*100</f>
        <v>54.419021798541912</v>
      </c>
      <c r="F17" s="4">
        <f>depo!L17/depo!F17*100</f>
        <v>87.207501132500525</v>
      </c>
      <c r="G17" s="4">
        <f>depo!G17/depo!D17*100</f>
        <v>78.821248527511614</v>
      </c>
      <c r="H17" s="4">
        <f>depo!H17/depo!E17*100</f>
        <v>111.03668388781401</v>
      </c>
      <c r="I17" s="4">
        <f>depo!I17/depo!F17*100</f>
        <v>173.71778750209154</v>
      </c>
      <c r="J17" s="4">
        <f>('income '!D17-expenditure!D17)/'assets '!D17*100</f>
        <v>2.0866920090773071</v>
      </c>
      <c r="K17" s="4">
        <f>('income '!E17-expenditure!E17)/'assets '!E17*100</f>
        <v>2.4206224419273887</v>
      </c>
      <c r="L17" s="112">
        <f>('income '!F17-expenditure!F17)/'assets '!F17*100</f>
        <v>1.8146222986418337</v>
      </c>
      <c r="N17" s="21"/>
      <c r="O17" s="21"/>
      <c r="P17" s="21"/>
    </row>
    <row r="18" spans="2:16" ht="18" customHeight="1" x14ac:dyDescent="0.2">
      <c r="B18" s="15">
        <v>14</v>
      </c>
      <c r="C18" s="64" t="s">
        <v>104</v>
      </c>
      <c r="D18" s="4">
        <f>depo!J18/depo!D18*100</f>
        <v>38.737256705523023</v>
      </c>
      <c r="E18" s="4">
        <f>depo!K18/depo!E18*100</f>
        <v>93.261090359956427</v>
      </c>
      <c r="F18" s="4">
        <f>depo!L18/depo!F18*100</f>
        <v>63.909734571023044</v>
      </c>
      <c r="G18" s="4">
        <f>depo!G18/depo!D18*100</f>
        <v>853.41658854120601</v>
      </c>
      <c r="H18" s="4">
        <f>depo!H18/depo!E18*100</f>
        <v>117.65737653434185</v>
      </c>
      <c r="I18" s="4">
        <f>depo!I18/depo!F18*100</f>
        <v>180.62813025107263</v>
      </c>
      <c r="J18" s="4">
        <f>('income '!D18-expenditure!D18)/'assets '!D18*100</f>
        <v>3.4689028444934427</v>
      </c>
      <c r="K18" s="4">
        <f>('income '!E18-expenditure!E18)/'assets '!E18*100</f>
        <v>5.5351425672799239</v>
      </c>
      <c r="L18" s="112">
        <f>('income '!F18-expenditure!F18)/'assets '!F18*100</f>
        <v>4.0997995405956633</v>
      </c>
      <c r="N18" s="21"/>
      <c r="O18" s="21"/>
      <c r="P18" s="21"/>
    </row>
    <row r="19" spans="2:16" ht="18" customHeight="1" x14ac:dyDescent="0.2">
      <c r="B19" s="15">
        <v>15</v>
      </c>
      <c r="C19" s="64" t="s">
        <v>98</v>
      </c>
      <c r="D19" s="4">
        <f>depo!J19/depo!D19*100</f>
        <v>80.631707925846925</v>
      </c>
      <c r="E19" s="4">
        <f>depo!K19/depo!E19*100</f>
        <v>93.788676877391751</v>
      </c>
      <c r="F19" s="4">
        <f>depo!L19/depo!F19*100</f>
        <v>77.752374843694355</v>
      </c>
      <c r="G19" s="4">
        <f>depo!G19/depo!D19*100</f>
        <v>44.49774227950352</v>
      </c>
      <c r="H19" s="4">
        <f>depo!H19/depo!E19*100</f>
        <v>45.541719325844674</v>
      </c>
      <c r="I19" s="4">
        <f>depo!I19/depo!F19*100</f>
        <v>42.623208941531281</v>
      </c>
      <c r="J19" s="4">
        <f>('income '!D19-expenditure!D19)/'assets '!D19*100</f>
        <v>2.1635482066264684</v>
      </c>
      <c r="K19" s="4">
        <f>('income '!E19-expenditure!E19)/'assets '!E19*100</f>
        <v>3.0537606697747823</v>
      </c>
      <c r="L19" s="112">
        <f>('income '!F19-expenditure!F19)/'assets '!F19*100</f>
        <v>2.5912641813969945</v>
      </c>
      <c r="N19" s="21"/>
      <c r="O19" s="21"/>
      <c r="P19" s="21"/>
    </row>
    <row r="20" spans="2:16" ht="18" customHeight="1" x14ac:dyDescent="0.2">
      <c r="B20" s="15">
        <v>16</v>
      </c>
      <c r="C20" s="64" t="s">
        <v>53</v>
      </c>
      <c r="D20" s="4">
        <f>depo!J20/depo!D20*100</f>
        <v>76.838241703596694</v>
      </c>
      <c r="E20" s="4">
        <f>depo!K20/depo!E20*100</f>
        <v>65.712977351234628</v>
      </c>
      <c r="F20" s="4">
        <f>depo!L20/depo!F20*100</f>
        <v>64.782716919633984</v>
      </c>
      <c r="G20" s="4">
        <f>depo!G20/depo!D20*100</f>
        <v>70.176369598806289</v>
      </c>
      <c r="H20" s="4">
        <f>depo!H20/depo!E20*100</f>
        <v>69.649730167070061</v>
      </c>
      <c r="I20" s="4">
        <f>depo!I20/depo!F20*100</f>
        <v>67.418938254541317</v>
      </c>
      <c r="J20" s="4">
        <f>('income '!D20-expenditure!D20)/'assets '!D20*100</f>
        <v>2.1357698762515276</v>
      </c>
      <c r="K20" s="4">
        <f>('income '!E20-expenditure!E20)/'assets '!E20*100</f>
        <v>2.0827568484696246</v>
      </c>
      <c r="L20" s="112">
        <f>('income '!F20-expenditure!F20)/'assets '!F20*100</f>
        <v>2.2280840468612042</v>
      </c>
      <c r="N20" s="21"/>
      <c r="O20" s="21"/>
      <c r="P20" s="21"/>
    </row>
    <row r="21" spans="2:16" ht="18" customHeight="1" x14ac:dyDescent="0.2">
      <c r="B21" s="15">
        <v>17</v>
      </c>
      <c r="C21" s="64" t="s">
        <v>5</v>
      </c>
      <c r="D21" s="4">
        <f>depo!J21/depo!D21*100</f>
        <v>81.627431436821183</v>
      </c>
      <c r="E21" s="4">
        <f>depo!K21/depo!E21*100</f>
        <v>78.241248822384279</v>
      </c>
      <c r="F21" s="4">
        <f>depo!L21/depo!F21*100</f>
        <v>72.350066994072094</v>
      </c>
      <c r="G21" s="4">
        <f>depo!G21/depo!D21*100</f>
        <v>66.846944355961099</v>
      </c>
      <c r="H21" s="4">
        <f>depo!H21/depo!E21*100</f>
        <v>76.936272343527207</v>
      </c>
      <c r="I21" s="4">
        <f>depo!I21/depo!F21*100</f>
        <v>67.661669671551394</v>
      </c>
      <c r="J21" s="4">
        <f>('income '!D21-expenditure!D21)/'assets '!D21*100</f>
        <v>3.8691946890928488</v>
      </c>
      <c r="K21" s="4">
        <f>('income '!E21-expenditure!E21)/'assets '!E21*100</f>
        <v>3.9418568560447382</v>
      </c>
      <c r="L21" s="112">
        <f>('income '!F21-expenditure!F21)/'assets '!F21*100</f>
        <v>3.7138360466402927</v>
      </c>
      <c r="N21" s="21"/>
      <c r="O21" s="21"/>
      <c r="P21" s="21"/>
    </row>
    <row r="22" spans="2:16" ht="18" customHeight="1" x14ac:dyDescent="0.2">
      <c r="B22" s="15">
        <v>18</v>
      </c>
      <c r="C22" s="64" t="s">
        <v>60</v>
      </c>
      <c r="D22" s="4">
        <f>depo!J22/depo!D22*100</f>
        <v>77.033563916725839</v>
      </c>
      <c r="E22" s="4">
        <f>depo!K22/depo!E22*100</f>
        <v>77.477969185286256</v>
      </c>
      <c r="F22" s="4">
        <f>depo!L22/depo!F22*100</f>
        <v>82.563457723940218</v>
      </c>
      <c r="G22" s="4">
        <f>depo!G22/depo!D22*100</f>
        <v>45.509211694349801</v>
      </c>
      <c r="H22" s="4">
        <f>depo!H22/depo!E22*100</f>
        <v>46.842913184376592</v>
      </c>
      <c r="I22" s="4">
        <f>depo!I22/depo!F22*100</f>
        <v>35.785113048911846</v>
      </c>
      <c r="J22" s="4">
        <f>('income '!D22-expenditure!D22)/'assets '!D22*100</f>
        <v>3.5810720714714313</v>
      </c>
      <c r="K22" s="4">
        <f>('income '!E22-expenditure!E22)/'assets '!E22*100</f>
        <v>3.2320242838171129</v>
      </c>
      <c r="L22" s="112">
        <f>('income '!F22-expenditure!F22)/'assets '!F22*100</f>
        <v>2.6109780749494638</v>
      </c>
      <c r="N22" s="21"/>
      <c r="O22" s="21"/>
      <c r="P22" s="21"/>
    </row>
    <row r="23" spans="2:16" ht="18" customHeight="1" x14ac:dyDescent="0.2">
      <c r="B23" s="15">
        <v>19</v>
      </c>
      <c r="C23" s="64" t="s">
        <v>99</v>
      </c>
      <c r="D23" s="4">
        <f>depo!J23/depo!D23*100</f>
        <v>103.2789213923251</v>
      </c>
      <c r="E23" s="4">
        <f>depo!K23/depo!E23*100</f>
        <v>99.886590816653708</v>
      </c>
      <c r="F23" s="4">
        <f>depo!L23/depo!F23*100</f>
        <v>84.158559663098899</v>
      </c>
      <c r="G23" s="4">
        <f>depo!G23/depo!D23*100</f>
        <v>58.591414780987151</v>
      </c>
      <c r="H23" s="4">
        <f>depo!H23/depo!E23*100</f>
        <v>41.781062172765012</v>
      </c>
      <c r="I23" s="4">
        <f>depo!I23/depo!F23*100</f>
        <v>43.844286130942585</v>
      </c>
      <c r="J23" s="4">
        <f>('income '!D23-expenditure!D23)/'assets '!D23*100</f>
        <v>2.4167192339025383</v>
      </c>
      <c r="K23" s="4">
        <f>('income '!E23-expenditure!E23)/'assets '!E23*100</f>
        <v>2.5025709684304474</v>
      </c>
      <c r="L23" s="112">
        <f>('income '!F23-expenditure!F23)/'assets '!F23*100</f>
        <v>1.6102655125852356</v>
      </c>
      <c r="N23" s="21"/>
      <c r="O23" s="21"/>
      <c r="P23" s="21"/>
    </row>
    <row r="24" spans="2:16" ht="18" customHeight="1" x14ac:dyDescent="0.2">
      <c r="B24" s="15">
        <v>20</v>
      </c>
      <c r="C24" s="64" t="s">
        <v>66</v>
      </c>
      <c r="D24" s="4">
        <f>depo!J24/depo!D24*100</f>
        <v>155.22621785195321</v>
      </c>
      <c r="E24" s="4">
        <f>depo!K24/depo!E24*100</f>
        <v>237.64839691493768</v>
      </c>
      <c r="F24" s="4">
        <f>depo!L24/depo!F24*100</f>
        <v>151.60299116536183</v>
      </c>
      <c r="G24" s="4">
        <f>depo!G24/depo!D24*100</f>
        <v>920.02877982026712</v>
      </c>
      <c r="H24" s="4">
        <f>depo!H24/depo!E24*100</f>
        <v>1156.6688976001528</v>
      </c>
      <c r="I24" s="4">
        <f>depo!I24/depo!F24*100</f>
        <v>329.10204516107029</v>
      </c>
      <c r="J24" s="4">
        <f>('income '!D24-expenditure!D24)/'assets '!D24*100</f>
        <v>2.8329998223509341</v>
      </c>
      <c r="K24" s="4">
        <f>('income '!E24-expenditure!E24)/'assets '!E24*100</f>
        <v>2.3291105598540853</v>
      </c>
      <c r="L24" s="112">
        <f>('income '!F24-expenditure!F24)/'assets '!F24*100</f>
        <v>1.7102163248082562</v>
      </c>
      <c r="N24" s="21"/>
      <c r="O24" s="21"/>
      <c r="P24" s="21"/>
    </row>
    <row r="25" spans="2:16" ht="18" customHeight="1" x14ac:dyDescent="0.2">
      <c r="B25" s="15">
        <v>21</v>
      </c>
      <c r="C25" s="64" t="s">
        <v>39</v>
      </c>
      <c r="D25" s="4" t="s">
        <v>105</v>
      </c>
      <c r="E25" s="4" t="s">
        <v>105</v>
      </c>
      <c r="F25" s="4" t="s">
        <v>105</v>
      </c>
      <c r="G25" s="4" t="s">
        <v>105</v>
      </c>
      <c r="H25" s="4" t="s">
        <v>105</v>
      </c>
      <c r="I25" s="4" t="s">
        <v>105</v>
      </c>
      <c r="J25" s="4">
        <f>('income '!D25-expenditure!D25)/'assets '!D25*100</f>
        <v>4.8863636363636358</v>
      </c>
      <c r="K25" s="4">
        <f>('income '!E25-expenditure!E25)/'assets '!E25*100</f>
        <v>5.701516394866764</v>
      </c>
      <c r="L25" s="112">
        <f>('income '!F25-expenditure!F25)/'assets '!F25*100</f>
        <v>5.6416452392313214</v>
      </c>
      <c r="N25" s="21"/>
      <c r="O25" s="21"/>
      <c r="P25" s="21"/>
    </row>
    <row r="26" spans="2:16" ht="18" customHeight="1" x14ac:dyDescent="0.2">
      <c r="B26" s="15">
        <v>22</v>
      </c>
      <c r="C26" s="64" t="s">
        <v>91</v>
      </c>
      <c r="D26" s="4">
        <f>depo!J26/depo!D26*100</f>
        <v>55.1363318558872</v>
      </c>
      <c r="E26" s="4">
        <f>depo!K26/depo!E26*100</f>
        <v>54.277249806381469</v>
      </c>
      <c r="F26" s="4">
        <f>depo!L26/depo!F26*100</f>
        <v>61.903101325375687</v>
      </c>
      <c r="G26" s="4">
        <f>depo!G26/depo!D26*100</f>
        <v>64.389954856818036</v>
      </c>
      <c r="H26" s="4">
        <f>depo!H26/depo!E26*100</f>
        <v>73.812083268058473</v>
      </c>
      <c r="I26" s="4">
        <f>depo!I26/depo!F26*100</f>
        <v>71.754435641732741</v>
      </c>
      <c r="J26" s="4">
        <f>('income '!D26-expenditure!D26)/'assets '!D26*100</f>
        <v>3.2384267005169174</v>
      </c>
      <c r="K26" s="4">
        <f>('income '!E26-expenditure!E26)/'assets '!E26*100</f>
        <v>3.8116719156271093</v>
      </c>
      <c r="L26" s="112">
        <f>('income '!F26-expenditure!F26)/'assets '!F26*100</f>
        <v>3.3914305865186614</v>
      </c>
      <c r="N26" s="21"/>
      <c r="O26" s="21"/>
      <c r="P26" s="21"/>
    </row>
    <row r="27" spans="2:16" ht="18" customHeight="1" x14ac:dyDescent="0.2">
      <c r="B27" s="15">
        <v>23</v>
      </c>
      <c r="C27" s="64" t="s">
        <v>59</v>
      </c>
      <c r="D27" s="4">
        <f>depo!J27/depo!D27*100</f>
        <v>75.041190358908167</v>
      </c>
      <c r="E27" s="4">
        <f>depo!K27/depo!E27*100</f>
        <v>165.50378943303323</v>
      </c>
      <c r="F27" s="4">
        <f>depo!L27/depo!F27*100</f>
        <v>213.82728983152313</v>
      </c>
      <c r="G27" s="4">
        <f>depo!G27/depo!D27*100</f>
        <v>10.47644930613354</v>
      </c>
      <c r="H27" s="4">
        <f>depo!H27/depo!E27*100</f>
        <v>20.350100166541964</v>
      </c>
      <c r="I27" s="4">
        <f>depo!I27/depo!F27*100</f>
        <v>24.030759143647195</v>
      </c>
      <c r="J27" s="4">
        <f>('income '!D27-expenditure!D27)/'assets '!D27*100</f>
        <v>3.5724298854109193</v>
      </c>
      <c r="K27" s="4">
        <f>('income '!E27-expenditure!E27)/'assets '!E27*100</f>
        <v>5.6889489660958681</v>
      </c>
      <c r="L27" s="112">
        <f>('income '!F27-expenditure!F27)/'assets '!F27*100</f>
        <v>4.4545958439043414</v>
      </c>
      <c r="N27" s="21"/>
      <c r="O27" s="21"/>
      <c r="P27" s="21"/>
    </row>
    <row r="28" spans="2:16" ht="18" customHeight="1" x14ac:dyDescent="0.2">
      <c r="B28" s="15">
        <v>24</v>
      </c>
      <c r="C28" s="64" t="s">
        <v>86</v>
      </c>
      <c r="D28" s="4">
        <f>depo!J28/depo!D28*100</f>
        <v>33.365344819965529</v>
      </c>
      <c r="E28" s="4">
        <f>depo!K28/depo!E28*100</f>
        <v>45.966314061762937</v>
      </c>
      <c r="F28" s="4">
        <f>depo!L28/depo!F28*100</f>
        <v>42.33366655565716</v>
      </c>
      <c r="G28" s="4">
        <f>depo!G28/depo!D28*100</f>
        <v>118.88302681330339</v>
      </c>
      <c r="H28" s="4">
        <f>depo!H28/depo!E28*100</f>
        <v>121.37958553307529</v>
      </c>
      <c r="I28" s="4">
        <f>depo!I28/depo!F28*100</f>
        <v>104.11489065408477</v>
      </c>
      <c r="J28" s="4">
        <f>('income '!D28-expenditure!D28)/'assets '!D28*100</f>
        <v>1.6545703117831649</v>
      </c>
      <c r="K28" s="4">
        <f>('income '!E28-expenditure!E28)/'assets '!E28*100</f>
        <v>1.7749183661208761</v>
      </c>
      <c r="L28" s="112">
        <f>('income '!F28-expenditure!F28)/'assets '!F28*100</f>
        <v>2.4393494994237033</v>
      </c>
      <c r="N28" s="21"/>
      <c r="O28" s="21"/>
      <c r="P28" s="21"/>
    </row>
    <row r="29" spans="2:16" ht="18" customHeight="1" x14ac:dyDescent="0.2">
      <c r="B29" s="15">
        <v>25</v>
      </c>
      <c r="C29" s="64" t="s">
        <v>6</v>
      </c>
      <c r="D29" s="4">
        <f>depo!J29/depo!D29*100</f>
        <v>28.953868224837322</v>
      </c>
      <c r="E29" s="4">
        <f>depo!K29/depo!E29*100</f>
        <v>17.340877120763128</v>
      </c>
      <c r="F29" s="4">
        <f>depo!L29/depo!F29*100</f>
        <v>19.056349950935633</v>
      </c>
      <c r="G29" s="4">
        <f>depo!G29/depo!D29*100</f>
        <v>120.07548273444415</v>
      </c>
      <c r="H29" s="4">
        <f>depo!H29/depo!E29*100</f>
        <v>126.32994725626436</v>
      </c>
      <c r="I29" s="4">
        <f>depo!I29/depo!F29*100</f>
        <v>129.36820617181709</v>
      </c>
      <c r="J29" s="4">
        <f>('income '!D29-expenditure!D29)/'assets '!D29*100</f>
        <v>2.9090253600591565</v>
      </c>
      <c r="K29" s="4">
        <f>('income '!E29-expenditure!E29)/'assets '!E29*100</f>
        <v>3.365598400056824</v>
      </c>
      <c r="L29" s="112">
        <f>('income '!F29-expenditure!F29)/'assets '!F29*100</f>
        <v>2.7317920320356897</v>
      </c>
      <c r="N29" s="21"/>
      <c r="O29" s="21"/>
      <c r="P29" s="21"/>
    </row>
    <row r="30" spans="2:16" ht="18" customHeight="1" x14ac:dyDescent="0.2">
      <c r="B30" s="15">
        <v>26</v>
      </c>
      <c r="C30" s="64" t="s">
        <v>35</v>
      </c>
      <c r="D30" s="4">
        <f>depo!J30/depo!D30*100</f>
        <v>0</v>
      </c>
      <c r="E30" s="4">
        <f>depo!K30/depo!E30*100</f>
        <v>0</v>
      </c>
      <c r="F30" s="4">
        <f>depo!L30/depo!F30*100</f>
        <v>0</v>
      </c>
      <c r="G30" s="4">
        <f>depo!G30/depo!D30*100</f>
        <v>415.79662860250136</v>
      </c>
      <c r="H30" s="4">
        <f>depo!H30/depo!E30*100</f>
        <v>41.488358998212846</v>
      </c>
      <c r="I30" s="4">
        <f>depo!I30/depo!F30*100</f>
        <v>15.047632971571643</v>
      </c>
      <c r="J30" s="4">
        <f>('income '!D30-expenditure!D30)/'assets '!D30*100</f>
        <v>0.2840252586322719</v>
      </c>
      <c r="K30" s="4">
        <f>('income '!E30-expenditure!E30)/'assets '!E30*100</f>
        <v>2.7176728781880288</v>
      </c>
      <c r="L30" s="112">
        <f>('income '!F30-expenditure!F30)/'assets '!F30*100</f>
        <v>4.1500331050210493</v>
      </c>
      <c r="N30" s="21"/>
      <c r="O30" s="21"/>
      <c r="P30" s="21"/>
    </row>
    <row r="31" spans="2:16" ht="18" customHeight="1" x14ac:dyDescent="0.2">
      <c r="B31" s="15">
        <v>27</v>
      </c>
      <c r="C31" s="64" t="s">
        <v>62</v>
      </c>
      <c r="D31" s="4">
        <f>depo!J31/depo!D31*100</f>
        <v>92.840089477975454</v>
      </c>
      <c r="E31" s="4">
        <f>depo!K31/depo!E31*100</f>
        <v>116.412118171618</v>
      </c>
      <c r="F31" s="4">
        <f>depo!L31/depo!F31*100</f>
        <v>77.152117371469345</v>
      </c>
      <c r="G31" s="4">
        <f>depo!G31/depo!D31*100</f>
        <v>9.0322580645161281</v>
      </c>
      <c r="H31" s="4">
        <f>depo!H31/depo!E31*100</f>
        <v>14.65947587658056</v>
      </c>
      <c r="I31" s="4">
        <f>depo!I31/depo!F31*100</f>
        <v>10.478173096583197</v>
      </c>
      <c r="J31" s="4">
        <f>('income '!D31-expenditure!D31)/'assets '!D31*100</f>
        <v>2.2419661829424258</v>
      </c>
      <c r="K31" s="4">
        <f>('income '!E31-expenditure!E31)/'assets '!E31*100</f>
        <v>2.7027790725157432</v>
      </c>
      <c r="L31" s="112">
        <f>('income '!F31-expenditure!F31)/'assets '!F31*100</f>
        <v>2.2722798212325657</v>
      </c>
      <c r="N31" s="21"/>
      <c r="O31" s="21"/>
      <c r="P31" s="21"/>
    </row>
    <row r="32" spans="2:16" ht="18" customHeight="1" x14ac:dyDescent="0.2">
      <c r="B32" s="15">
        <v>28</v>
      </c>
      <c r="C32" s="64" t="s">
        <v>78</v>
      </c>
      <c r="D32" s="4">
        <f>depo!J32/depo!D32*100</f>
        <v>55.09180446328439</v>
      </c>
      <c r="E32" s="4">
        <f>depo!K32/depo!E32*100</f>
        <v>77.852319391634978</v>
      </c>
      <c r="F32" s="4">
        <f>depo!L32/depo!F32*100</f>
        <v>75.43650705600426</v>
      </c>
      <c r="G32" s="4">
        <f>depo!G32/depo!D32*100</f>
        <v>69.89927036375515</v>
      </c>
      <c r="H32" s="4">
        <f>depo!H32/depo!E32*100</f>
        <v>140.89292775665399</v>
      </c>
      <c r="I32" s="4">
        <f>depo!I32/depo!F32*100</f>
        <v>105.4835859146179</v>
      </c>
      <c r="J32" s="4">
        <f>('income '!D32-expenditure!D32)/'assets '!D32*100</f>
        <v>2.1670066081467603</v>
      </c>
      <c r="K32" s="4">
        <f>('income '!E32-expenditure!E32)/'assets '!E32*100</f>
        <v>1.337771593720479</v>
      </c>
      <c r="L32" s="112">
        <f>('income '!F32-expenditure!F32)/'assets '!F32*100</f>
        <v>1.1923909049974468</v>
      </c>
      <c r="N32" s="21"/>
      <c r="O32" s="21"/>
      <c r="P32" s="21"/>
    </row>
    <row r="33" spans="2:16" ht="18" customHeight="1" x14ac:dyDescent="0.2">
      <c r="B33" s="15">
        <v>29</v>
      </c>
      <c r="C33" s="64" t="s">
        <v>49</v>
      </c>
      <c r="D33" s="4">
        <v>0</v>
      </c>
      <c r="E33" s="4" t="s">
        <v>105</v>
      </c>
      <c r="F33" s="4" t="s">
        <v>105</v>
      </c>
      <c r="G33" s="4">
        <v>0</v>
      </c>
      <c r="H33" s="4" t="s">
        <v>105</v>
      </c>
      <c r="I33" s="4" t="s">
        <v>105</v>
      </c>
      <c r="J33" s="4">
        <f>('income '!D33-expenditure!D33)/'assets '!D33*100</f>
        <v>3.6289666395443447</v>
      </c>
      <c r="K33" s="4" t="s">
        <v>105</v>
      </c>
      <c r="L33" s="6" t="s">
        <v>105</v>
      </c>
      <c r="N33" s="21"/>
      <c r="O33" s="21"/>
      <c r="P33" s="21"/>
    </row>
    <row r="34" spans="2:16" ht="18" customHeight="1" x14ac:dyDescent="0.2">
      <c r="B34" s="15">
        <v>30</v>
      </c>
      <c r="C34" s="64" t="s">
        <v>7</v>
      </c>
      <c r="D34" s="4">
        <f>depo!J34/depo!D34*100</f>
        <v>801.20708575011759</v>
      </c>
      <c r="E34" s="4">
        <f>depo!K34/depo!E34*100</f>
        <v>483.55198495790779</v>
      </c>
      <c r="F34" s="4">
        <f>depo!L34/depo!F34*100</f>
        <v>620.18563000742608</v>
      </c>
      <c r="G34" s="4">
        <f>depo!G34/depo!D34*100</f>
        <v>288.42295030569056</v>
      </c>
      <c r="H34" s="4">
        <f>depo!H34/depo!E34*100</f>
        <v>108.36289047476603</v>
      </c>
      <c r="I34" s="4">
        <f>depo!I34/depo!F34*100</f>
        <v>94.313986106543908</v>
      </c>
      <c r="J34" s="4">
        <f>('income '!D34-expenditure!D34)/'assets '!D34*100</f>
        <v>5.7342789982455065</v>
      </c>
      <c r="K34" s="4">
        <f>('income '!E34-expenditure!E34)/'assets '!E34*100</f>
        <v>7.1159282483552637</v>
      </c>
      <c r="L34" s="112">
        <f>('income '!F34-expenditure!F34)/'assets '!F34*100</f>
        <v>3.7370739025924791</v>
      </c>
      <c r="N34" s="21"/>
      <c r="O34" s="21"/>
      <c r="P34" s="21"/>
    </row>
    <row r="35" spans="2:16" ht="18" customHeight="1" x14ac:dyDescent="0.2">
      <c r="B35" s="15">
        <v>31</v>
      </c>
      <c r="C35" s="64" t="s">
        <v>54</v>
      </c>
      <c r="D35" s="4">
        <f>depo!J35/depo!D35*100</f>
        <v>71.355450339430107</v>
      </c>
      <c r="E35" s="4">
        <f>depo!K35/depo!E35*100</f>
        <v>83.28122620929976</v>
      </c>
      <c r="F35" s="4">
        <f>depo!L35/depo!F35*100</f>
        <v>72.30090566961222</v>
      </c>
      <c r="G35" s="4">
        <f>depo!G35/depo!D35*100</f>
        <v>31.033532235049943</v>
      </c>
      <c r="H35" s="4">
        <f>depo!H35/depo!E35*100</f>
        <v>54.203585555586208</v>
      </c>
      <c r="I35" s="4">
        <f>depo!I35/depo!F35*100</f>
        <v>76.752725711548734</v>
      </c>
      <c r="J35" s="4">
        <f>('income '!D35-expenditure!D35)/'assets '!D35*100</f>
        <v>2.1075813825010599</v>
      </c>
      <c r="K35" s="4">
        <f>('income '!E35-expenditure!E35)/'assets '!E35*100</f>
        <v>2.4911360799001248</v>
      </c>
      <c r="L35" s="112">
        <f>('income '!F35-expenditure!F35)/'assets '!F35*100</f>
        <v>2.3745807218433215</v>
      </c>
      <c r="N35" s="21"/>
      <c r="O35" s="21"/>
      <c r="P35" s="21"/>
    </row>
    <row r="36" spans="2:16" ht="18" customHeight="1" x14ac:dyDescent="0.2">
      <c r="B36" s="15">
        <v>32</v>
      </c>
      <c r="C36" s="69" t="s">
        <v>67</v>
      </c>
      <c r="D36" s="4">
        <f>depo!J36/depo!D36*100</f>
        <v>91.992707642568533</v>
      </c>
      <c r="E36" s="4">
        <f>depo!K36/depo!E36*100</f>
        <v>81.297361533187512</v>
      </c>
      <c r="F36" s="4">
        <f>depo!L36/depo!F36*100</f>
        <v>94.654209617956695</v>
      </c>
      <c r="G36" s="4">
        <f>depo!G36/depo!D36*100</f>
        <v>39.738369198370336</v>
      </c>
      <c r="H36" s="4">
        <f>depo!H36/depo!E36*100</f>
        <v>50.242262809157779</v>
      </c>
      <c r="I36" s="4">
        <f>depo!I36/depo!F36*100</f>
        <v>47.572652842604626</v>
      </c>
      <c r="J36" s="4">
        <f>('income '!D36-expenditure!D36)/'assets '!D36*100</f>
        <v>2.3408755224282727</v>
      </c>
      <c r="K36" s="4">
        <f>('income '!E36-expenditure!E36)/'assets '!E36*100</f>
        <v>2.7853471825991334</v>
      </c>
      <c r="L36" s="112">
        <f>('income '!F36-expenditure!F36)/'assets '!F36*100</f>
        <v>2.9531362475375382</v>
      </c>
      <c r="N36" s="21"/>
      <c r="O36" s="21"/>
      <c r="P36" s="21"/>
    </row>
    <row r="37" spans="2:16" ht="18" customHeight="1" x14ac:dyDescent="0.2">
      <c r="B37" s="15">
        <v>33</v>
      </c>
      <c r="C37" s="64" t="s">
        <v>90</v>
      </c>
      <c r="D37" s="4" t="s">
        <v>105</v>
      </c>
      <c r="E37" s="4" t="s">
        <v>105</v>
      </c>
      <c r="F37" s="4" t="s">
        <v>105</v>
      </c>
      <c r="G37" s="4" t="s">
        <v>105</v>
      </c>
      <c r="H37" s="4" t="s">
        <v>105</v>
      </c>
      <c r="I37" s="4" t="s">
        <v>105</v>
      </c>
      <c r="J37" s="4">
        <f>('income '!D37-expenditure!D37)/'assets '!D37*100</f>
        <v>1.8333700801355033</v>
      </c>
      <c r="K37" s="4">
        <f>('income '!E37-expenditure!E37)/'assets '!E37*100</f>
        <v>2.260210376362549</v>
      </c>
      <c r="L37" s="112">
        <f>('income '!F37-expenditure!F37)/'assets '!F37*100</f>
        <v>2.102410040203416</v>
      </c>
      <c r="N37" s="21"/>
      <c r="O37" s="21"/>
      <c r="P37" s="21"/>
    </row>
    <row r="38" spans="2:16" ht="18" customHeight="1" x14ac:dyDescent="0.2">
      <c r="B38" s="15">
        <v>34</v>
      </c>
      <c r="C38" s="64" t="s">
        <v>114</v>
      </c>
      <c r="D38" s="4" t="s">
        <v>105</v>
      </c>
      <c r="E38" s="4">
        <v>0</v>
      </c>
      <c r="F38" s="4">
        <f>depo!L38/depo!F38*100</f>
        <v>1026.0528194147037</v>
      </c>
      <c r="G38" s="4" t="s">
        <v>105</v>
      </c>
      <c r="H38" s="4">
        <f>depo!H38/depo!E38*100</f>
        <v>0</v>
      </c>
      <c r="I38" s="4">
        <f>depo!I38/depo!F38*100</f>
        <v>0</v>
      </c>
      <c r="J38" s="4" t="s">
        <v>105</v>
      </c>
      <c r="K38" s="4">
        <f>('income '!E38-expenditure!E38)/'assets '!E38*100</f>
        <v>6.052643470881832</v>
      </c>
      <c r="L38" s="112">
        <f>('income '!F38-expenditure!F38)/'assets '!F38*100</f>
        <v>6.5335250274254975</v>
      </c>
      <c r="N38" s="21"/>
      <c r="O38" s="21"/>
      <c r="P38" s="21"/>
    </row>
    <row r="39" spans="2:16" ht="18" customHeight="1" x14ac:dyDescent="0.2">
      <c r="B39" s="15">
        <v>35</v>
      </c>
      <c r="C39" s="64" t="s">
        <v>61</v>
      </c>
      <c r="D39" s="4">
        <f>depo!J39/depo!D39*100</f>
        <v>455.49149610838856</v>
      </c>
      <c r="E39" s="4">
        <f>depo!K39/depo!E39*100</f>
        <v>401.57938487115547</v>
      </c>
      <c r="F39" s="4">
        <f>depo!L39/depo!F39*100</f>
        <v>233.13348406710196</v>
      </c>
      <c r="G39" s="4">
        <f>depo!G39/depo!D39*100</f>
        <v>196.13721533583168</v>
      </c>
      <c r="H39" s="4">
        <f>depo!H39/depo!E39*100</f>
        <v>263.17539484621778</v>
      </c>
      <c r="I39" s="4">
        <f>depo!I39/depo!F39*100</f>
        <v>103.68112186571146</v>
      </c>
      <c r="J39" s="4">
        <f>('income '!D39-expenditure!D39)/'assets '!D39*100</f>
        <v>4.4650662362988358</v>
      </c>
      <c r="K39" s="4">
        <f>('income '!E39-expenditure!E39)/'assets '!E39*100</f>
        <v>4.365058805243252</v>
      </c>
      <c r="L39" s="112">
        <f>('income '!F39-expenditure!F39)/'assets '!F39*100</f>
        <v>4.9304911179022284</v>
      </c>
      <c r="N39" s="21"/>
      <c r="O39" s="21"/>
      <c r="P39" s="21"/>
    </row>
    <row r="40" spans="2:16" ht="18" customHeight="1" x14ac:dyDescent="0.2">
      <c r="B40" s="15">
        <v>36</v>
      </c>
      <c r="C40" s="64" t="s">
        <v>68</v>
      </c>
      <c r="D40" s="4">
        <f>depo!J40/depo!D40*100</f>
        <v>75.816521078144277</v>
      </c>
      <c r="E40" s="4">
        <f>depo!K40/depo!E40*100</f>
        <v>86.732064914253343</v>
      </c>
      <c r="F40" s="4">
        <f>depo!L40/depo!F40*100</f>
        <v>86.54216960852392</v>
      </c>
      <c r="G40" s="4">
        <f>depo!G40/depo!D40*100</f>
        <v>41.829804732769254</v>
      </c>
      <c r="H40" s="4">
        <f>depo!H40/depo!E40*100</f>
        <v>31.861282525741707</v>
      </c>
      <c r="I40" s="4">
        <f>depo!I40/depo!F40*100</f>
        <v>31.102178124387976</v>
      </c>
      <c r="J40" s="4">
        <f>('income '!D40-expenditure!D40)/'assets '!D40*100</f>
        <v>2.0975013045226301</v>
      </c>
      <c r="K40" s="4">
        <f>('income '!E40-expenditure!E40)/'assets '!E40*100</f>
        <v>1.7626824544360331</v>
      </c>
      <c r="L40" s="112">
        <f>('income '!F40-expenditure!F40)/'assets '!F40*100</f>
        <v>1.9962740902555736</v>
      </c>
      <c r="N40" s="21"/>
      <c r="O40" s="21"/>
      <c r="P40" s="21"/>
    </row>
    <row r="41" spans="2:16" ht="18" customHeight="1" x14ac:dyDescent="0.2">
      <c r="B41" s="15">
        <v>37</v>
      </c>
      <c r="C41" s="64" t="s">
        <v>44</v>
      </c>
      <c r="D41" s="4">
        <f>depo!J41/depo!D41*100</f>
        <v>6.2766378832290259</v>
      </c>
      <c r="E41" s="4">
        <f>depo!K41/depo!E41*100</f>
        <v>0.64742437316378876</v>
      </c>
      <c r="F41" s="20" t="s">
        <v>124</v>
      </c>
      <c r="G41" s="4">
        <f>depo!G41/depo!D41*100</f>
        <v>365.24069819641397</v>
      </c>
      <c r="H41" s="4">
        <f>depo!H41/depo!E41*100</f>
        <v>97.588311139920876</v>
      </c>
      <c r="I41" s="20" t="s">
        <v>124</v>
      </c>
      <c r="J41" s="4">
        <f>('income '!D41-expenditure!D41)/'assets '!D41*100</f>
        <v>1.9237657725115604</v>
      </c>
      <c r="K41" s="4">
        <f>('income '!E41-expenditure!E41)/'assets '!E41*100</f>
        <v>11.953912911524069</v>
      </c>
      <c r="L41" s="20" t="s">
        <v>124</v>
      </c>
      <c r="N41" s="21"/>
      <c r="O41" s="21"/>
      <c r="P41" s="21"/>
    </row>
    <row r="42" spans="2:16" ht="18" customHeight="1" x14ac:dyDescent="0.2">
      <c r="B42" s="15">
        <v>38</v>
      </c>
      <c r="C42" s="64" t="s">
        <v>73</v>
      </c>
      <c r="D42" s="4">
        <f>depo!J42/depo!D42*100</f>
        <v>66.077887225986643</v>
      </c>
      <c r="E42" s="4">
        <f>depo!K42/depo!E42*100</f>
        <v>65.741831729903396</v>
      </c>
      <c r="F42" s="4">
        <f>depo!L42/depo!F42*100</f>
        <v>60.440942468386595</v>
      </c>
      <c r="G42" s="4">
        <f>depo!G42/depo!D42*100</f>
        <v>50.456990679822312</v>
      </c>
      <c r="H42" s="4">
        <f>depo!H42/depo!E42*100</f>
        <v>42.983145884967215</v>
      </c>
      <c r="I42" s="4">
        <f>depo!I42/depo!F42*100</f>
        <v>28.725344139282448</v>
      </c>
      <c r="J42" s="4">
        <f>('income '!D42-expenditure!D42)/'assets '!D42*100</f>
        <v>2.0965387555480053</v>
      </c>
      <c r="K42" s="4">
        <f>('income '!E42-expenditure!E42)/'assets '!E42*100</f>
        <v>2.5194502944372168</v>
      </c>
      <c r="L42" s="112">
        <f>('income '!F42-expenditure!F42)/'assets '!F42*100</f>
        <v>2.0427637939416572</v>
      </c>
      <c r="N42" s="21"/>
      <c r="O42" s="21"/>
      <c r="P42" s="21"/>
    </row>
    <row r="43" spans="2:16" ht="18" customHeight="1" x14ac:dyDescent="0.2">
      <c r="B43" s="15">
        <v>39</v>
      </c>
      <c r="C43" s="64" t="s">
        <v>50</v>
      </c>
      <c r="D43" s="4">
        <f>depo!J43/depo!D43*100</f>
        <v>81.690914781882881</v>
      </c>
      <c r="E43" s="4">
        <f>depo!K43/depo!E43*100</f>
        <v>81.823761287208285</v>
      </c>
      <c r="F43" s="4">
        <f>depo!L43/depo!F43*100</f>
        <v>79.60938997698544</v>
      </c>
      <c r="G43" s="4">
        <f>depo!G43/depo!D43*100</f>
        <v>34.588400319959192</v>
      </c>
      <c r="H43" s="4">
        <f>depo!H43/depo!E43*100</f>
        <v>26.964457278163405</v>
      </c>
      <c r="I43" s="4">
        <f>depo!I43/depo!F43*100</f>
        <v>23.492187963719179</v>
      </c>
      <c r="J43" s="4">
        <f>('income '!D43-expenditure!D43)/'assets '!D43*100</f>
        <v>1.9140800719748088</v>
      </c>
      <c r="K43" s="4">
        <f>('income '!E43-expenditure!E43)/'assets '!E43*100</f>
        <v>1.9331548177408553</v>
      </c>
      <c r="L43" s="112">
        <f>('income '!F43-expenditure!F43)/'assets '!F43*100</f>
        <v>1.7577815077836227</v>
      </c>
      <c r="N43" s="21"/>
      <c r="O43" s="21"/>
      <c r="P43" s="21"/>
    </row>
    <row r="44" spans="2:16" ht="18" customHeight="1" x14ac:dyDescent="0.2">
      <c r="B44" s="15">
        <v>40</v>
      </c>
      <c r="C44" s="64" t="s">
        <v>8</v>
      </c>
      <c r="D44" s="4">
        <f>depo!J44/depo!D44*100</f>
        <v>66.141193663230879</v>
      </c>
      <c r="E44" s="4">
        <f>depo!K44/depo!E44*100</f>
        <v>85.954707297359008</v>
      </c>
      <c r="F44" s="4">
        <f>depo!L44/depo!F44*100</f>
        <v>40.154374654178206</v>
      </c>
      <c r="G44" s="4">
        <f>depo!G44/depo!D44*100</f>
        <v>256.84021785882709</v>
      </c>
      <c r="H44" s="4">
        <f>depo!H44/depo!E44*100</f>
        <v>315.71688677911715</v>
      </c>
      <c r="I44" s="4">
        <f>depo!I44/depo!F44*100</f>
        <v>290.08423922701382</v>
      </c>
      <c r="J44" s="4">
        <f>('income '!D44-expenditure!D44)/'assets '!D44*100</f>
        <v>2.3456857013363743</v>
      </c>
      <c r="K44" s="4">
        <f>('income '!E44-expenditure!E44)/'assets '!E44*100</f>
        <v>2.6511165108246346</v>
      </c>
      <c r="L44" s="112">
        <f>('income '!F44-expenditure!F44)/'assets '!F44*100</f>
        <v>2.9513809780696154</v>
      </c>
      <c r="N44" s="21"/>
      <c r="O44" s="21"/>
      <c r="P44" s="21"/>
    </row>
    <row r="45" spans="2:16" ht="18" customHeight="1" x14ac:dyDescent="0.2">
      <c r="B45" s="15">
        <v>41</v>
      </c>
      <c r="C45" s="64" t="s">
        <v>51</v>
      </c>
      <c r="D45" s="4">
        <f>depo!J45/depo!D45*100</f>
        <v>38.481942460722301</v>
      </c>
      <c r="E45" s="4">
        <f>depo!K45/depo!E45*100</f>
        <v>10.608954983274897</v>
      </c>
      <c r="F45" s="4">
        <f>depo!L45/depo!F45*100</f>
        <v>5.1642118574722904</v>
      </c>
      <c r="G45" s="4">
        <f>depo!G45/depo!D45*100</f>
        <v>36.6965925321363</v>
      </c>
      <c r="H45" s="4">
        <f>depo!H45/depo!E45*100</f>
        <v>26.550598476605003</v>
      </c>
      <c r="I45" s="4">
        <f>depo!I45/depo!F45*100</f>
        <v>31.236517146470288</v>
      </c>
      <c r="J45" s="4">
        <f>('income '!D45-expenditure!D45)/'assets '!D45*100</f>
        <v>2.1201027266269605</v>
      </c>
      <c r="K45" s="4">
        <f>('income '!E45-expenditure!E45)/'assets '!E45*100</f>
        <v>2.7576001219901025</v>
      </c>
      <c r="L45" s="112">
        <f>('income '!F45-expenditure!F45)/'assets '!F45*100</f>
        <v>4.018317646968832</v>
      </c>
      <c r="N45" s="21"/>
      <c r="O45" s="21"/>
      <c r="P45" s="21"/>
    </row>
    <row r="46" spans="2:16" ht="18" customHeight="1" x14ac:dyDescent="0.2">
      <c r="B46" s="15">
        <v>42</v>
      </c>
      <c r="C46" s="64" t="s">
        <v>9</v>
      </c>
      <c r="D46" s="4">
        <f>depo!J46/depo!D46*100</f>
        <v>64.774349244200366</v>
      </c>
      <c r="E46" s="4">
        <f>depo!K46/depo!E46*100</f>
        <v>60.431667889381181</v>
      </c>
      <c r="F46" s="4">
        <f>depo!L46/depo!F46*100</f>
        <v>58.232002197189423</v>
      </c>
      <c r="G46" s="4">
        <f>depo!G46/depo!D46*100</f>
        <v>71.91326383611262</v>
      </c>
      <c r="H46" s="4">
        <f>depo!H46/depo!E46*100</f>
        <v>76.376206853035228</v>
      </c>
      <c r="I46" s="4">
        <f>depo!I46/depo!F46*100</f>
        <v>76.03650560174745</v>
      </c>
      <c r="J46" s="4">
        <f>('income '!D46-expenditure!D46)/'assets '!D46*100</f>
        <v>3.5924215490059854</v>
      </c>
      <c r="K46" s="4">
        <f>('income '!E46-expenditure!E46)/'assets '!E46*100</f>
        <v>3.9176426780067137</v>
      </c>
      <c r="L46" s="112">
        <f>('income '!F46-expenditure!F46)/'assets '!F46*100</f>
        <v>3.6688026982356896</v>
      </c>
      <c r="N46" s="21"/>
      <c r="O46" s="21"/>
      <c r="P46" s="21"/>
    </row>
    <row r="47" spans="2:16" ht="18" customHeight="1" x14ac:dyDescent="0.2">
      <c r="B47" s="15">
        <v>43</v>
      </c>
      <c r="C47" s="64" t="s">
        <v>89</v>
      </c>
      <c r="D47" s="4">
        <f>depo!J47/depo!D47*100</f>
        <v>72.000115023653009</v>
      </c>
      <c r="E47" s="4">
        <f>depo!K47/depo!E47*100</f>
        <v>71.712937407512413</v>
      </c>
      <c r="F47" s="4">
        <f>depo!L47/depo!F47*100</f>
        <v>74.987601297533843</v>
      </c>
      <c r="G47" s="4">
        <f>depo!G47/depo!D47*100</f>
        <v>49.572823341326135</v>
      </c>
      <c r="H47" s="4">
        <f>depo!H47/depo!E47*100</f>
        <v>45.672278352285019</v>
      </c>
      <c r="I47" s="4">
        <f>depo!I47/depo!F47*100</f>
        <v>41.364718230843103</v>
      </c>
      <c r="J47" s="4">
        <f>('income '!D47-expenditure!D47)/'assets '!D47*100</f>
        <v>2.4692594482253019</v>
      </c>
      <c r="K47" s="4">
        <f>('income '!E47-expenditure!E47)/'assets '!E47*100</f>
        <v>2.4728761090775477</v>
      </c>
      <c r="L47" s="112">
        <f>('income '!F47-expenditure!F47)/'assets '!F47*100</f>
        <v>2.5646824072762153</v>
      </c>
      <c r="N47" s="21"/>
      <c r="O47" s="21"/>
      <c r="P47" s="21"/>
    </row>
    <row r="48" spans="2:16" ht="18" customHeight="1" x14ac:dyDescent="0.2">
      <c r="B48" s="15">
        <v>44</v>
      </c>
      <c r="C48" s="64" t="s">
        <v>40</v>
      </c>
      <c r="D48" s="4">
        <f>depo!J48/depo!D48*100</f>
        <v>86.582964057114722</v>
      </c>
      <c r="E48" s="4">
        <f>depo!K48/depo!E48*100</f>
        <v>90.596797671033471</v>
      </c>
      <c r="F48" s="4">
        <f>depo!L48/depo!F48*100</f>
        <v>438.215027586757</v>
      </c>
      <c r="G48" s="4">
        <f>depo!G48/depo!D48*100</f>
        <v>33.905349436672751</v>
      </c>
      <c r="H48" s="4">
        <f>depo!H48/depo!E48*100</f>
        <v>45.876352639833904</v>
      </c>
      <c r="I48" s="4">
        <f>depo!I48/depo!F48*100</f>
        <v>278.40853368844131</v>
      </c>
      <c r="J48" s="4">
        <f>('income '!D48-expenditure!D48)/'assets '!D48*100</f>
        <v>2.7181069184756028</v>
      </c>
      <c r="K48" s="4">
        <f>('income '!E48-expenditure!E48)/'assets '!E48*100</f>
        <v>3.1502789041434247</v>
      </c>
      <c r="L48" s="112">
        <f>('income '!F48-expenditure!F48)/'assets '!F48*100</f>
        <v>4.8312971323331411</v>
      </c>
      <c r="N48" s="21"/>
      <c r="O48" s="21"/>
      <c r="P48" s="21"/>
    </row>
    <row r="49" spans="2:16" ht="18" customHeight="1" thickBot="1" x14ac:dyDescent="0.25">
      <c r="B49" s="67">
        <v>45</v>
      </c>
      <c r="C49" s="68" t="s">
        <v>52</v>
      </c>
      <c r="D49" s="14">
        <f>depo!J49/depo!D49*100</f>
        <v>69.550795685410591</v>
      </c>
      <c r="E49" s="14">
        <f>depo!K49/depo!E49*100</f>
        <v>87.399319771225805</v>
      </c>
      <c r="F49" s="14">
        <f>depo!L49/depo!F49*100</f>
        <v>81.056930205224774</v>
      </c>
      <c r="G49" s="14">
        <f>depo!G49/depo!D49*100</f>
        <v>63.980105186862005</v>
      </c>
      <c r="H49" s="14">
        <f>depo!H49/depo!E49*100</f>
        <v>60.679831058432868</v>
      </c>
      <c r="I49" s="14">
        <f>depo!I49/depo!F49*100</f>
        <v>47.158177428701151</v>
      </c>
      <c r="J49" s="14">
        <f>('income '!D49-expenditure!D49)/'assets '!D49*100</f>
        <v>1.5244408365363489</v>
      </c>
      <c r="K49" s="14">
        <f>('income '!E49-expenditure!E49)/'assets '!E49*100</f>
        <v>1.570749427218606</v>
      </c>
      <c r="L49" s="113">
        <f>('income '!F49-expenditure!F49)/'assets '!F49*100</f>
        <v>1.6778293379874885</v>
      </c>
      <c r="N49" s="21"/>
      <c r="O49" s="21"/>
      <c r="P49" s="21"/>
    </row>
    <row r="50" spans="2:16" ht="18" customHeight="1" thickBot="1" x14ac:dyDescent="0.25">
      <c r="B50" s="131" t="s">
        <v>37</v>
      </c>
      <c r="C50" s="132"/>
      <c r="D50" s="9">
        <f>depo!J50/depo!D50*100</f>
        <v>57.37496417068121</v>
      </c>
      <c r="E50" s="9">
        <f>depo!K50/depo!E50*100</f>
        <v>54.402611881303351</v>
      </c>
      <c r="F50" s="9">
        <f>depo!L50/depo!F50*100</f>
        <v>56.394996042905362</v>
      </c>
      <c r="G50" s="9">
        <f>depo!G50/depo!D50*100</f>
        <v>78.763422731759107</v>
      </c>
      <c r="H50" s="9">
        <f>depo!H50/depo!E50*100</f>
        <v>80.082565845063641</v>
      </c>
      <c r="I50" s="9">
        <f>depo!I50/depo!F50*100</f>
        <v>84.135165534701429</v>
      </c>
      <c r="J50" s="9">
        <f>('income '!D50-expenditure!D50)/'assets '!D50*100</f>
        <v>3.2937533847150284</v>
      </c>
      <c r="K50" s="9">
        <f>('income '!E50-expenditure!E50)/'assets '!E50*100</f>
        <v>3.4616922998709958</v>
      </c>
      <c r="L50" s="121">
        <f>('income '!F50-expenditure!F50)/'assets '!F50*100</f>
        <v>3.1511597900255346</v>
      </c>
      <c r="N50" s="21"/>
      <c r="O50" s="21"/>
      <c r="P50" s="21"/>
    </row>
    <row r="52" spans="2:16" x14ac:dyDescent="0.2">
      <c r="B52" s="140">
        <v>6</v>
      </c>
      <c r="C52" s="140"/>
      <c r="D52" s="140"/>
      <c r="E52" s="140"/>
      <c r="F52" s="140"/>
      <c r="G52" s="140"/>
      <c r="H52" s="140"/>
      <c r="I52" s="140"/>
      <c r="J52" s="140"/>
      <c r="K52" s="140"/>
      <c r="L52" s="140"/>
    </row>
  </sheetData>
  <sortState xmlns:xlrd2="http://schemas.microsoft.com/office/spreadsheetml/2017/richdata2" ref="C5:C50">
    <sortCondition ref="C5:C50"/>
  </sortState>
  <mergeCells count="10">
    <mergeCell ref="B52:L52"/>
    <mergeCell ref="B50:C50"/>
    <mergeCell ref="B1:L1"/>
    <mergeCell ref="G3:I3"/>
    <mergeCell ref="J3:L3"/>
    <mergeCell ref="D2:K2"/>
    <mergeCell ref="C3:C4"/>
    <mergeCell ref="B3:B4"/>
    <mergeCell ref="B2:C2"/>
    <mergeCell ref="D3:F3"/>
  </mergeCells>
  <phoneticPr fontId="0" type="noConversion"/>
  <printOptions horizontalCentered="1" verticalCentered="1"/>
  <pageMargins left="0.23622047244094491" right="0.23622047244094491" top="0.39370078740157483" bottom="0.74803149606299213" header="0.31496062992125984" footer="0.31496062992125984"/>
  <pageSetup paperSize="9" scale="65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P54"/>
  <sheetViews>
    <sheetView view="pageBreakPreview" topLeftCell="A20" zoomScaleNormal="100" zoomScaleSheetLayoutView="100" workbookViewId="0">
      <selection activeCell="F41" sqref="F41"/>
    </sheetView>
  </sheetViews>
  <sheetFormatPr defaultColWidth="8.7109375" defaultRowHeight="15.75" x14ac:dyDescent="0.2"/>
  <cols>
    <col min="1" max="1" width="8.7109375" style="1"/>
    <col min="2" max="2" width="7.140625" style="3" customWidth="1"/>
    <col min="3" max="3" width="47.7109375" style="3" customWidth="1"/>
    <col min="4" max="6" width="10.5703125" style="1" customWidth="1"/>
    <col min="7" max="9" width="10.28515625" style="63" customWidth="1"/>
    <col min="10" max="10" width="10.85546875" style="1" customWidth="1"/>
    <col min="11" max="11" width="11.140625" style="1" customWidth="1"/>
    <col min="12" max="12" width="10.140625" style="1" customWidth="1"/>
    <col min="13" max="13" width="7.7109375" style="1" customWidth="1"/>
    <col min="14" max="16384" width="8.7109375" style="1"/>
  </cols>
  <sheetData>
    <row r="1" spans="2:16" ht="20.45" customHeight="1" x14ac:dyDescent="0.2">
      <c r="B1" s="124" t="s">
        <v>32</v>
      </c>
      <c r="C1" s="125"/>
      <c r="D1" s="125"/>
      <c r="E1" s="125"/>
      <c r="F1" s="125"/>
      <c r="G1" s="125"/>
      <c r="H1" s="125"/>
      <c r="I1" s="125"/>
      <c r="J1" s="125"/>
      <c r="K1" s="125"/>
      <c r="L1" s="126"/>
    </row>
    <row r="2" spans="2:16" ht="17.45" customHeight="1" x14ac:dyDescent="0.2">
      <c r="B2" s="127" t="s">
        <v>43</v>
      </c>
      <c r="C2" s="128"/>
      <c r="D2" s="128"/>
      <c r="E2" s="128"/>
      <c r="F2" s="128"/>
      <c r="G2" s="128"/>
      <c r="H2" s="128"/>
      <c r="I2" s="128"/>
      <c r="J2" s="128"/>
      <c r="K2" s="128"/>
      <c r="L2" s="111" t="s">
        <v>42</v>
      </c>
    </row>
    <row r="3" spans="2:16" ht="42" customHeight="1" x14ac:dyDescent="0.2">
      <c r="B3" s="136" t="s">
        <v>30</v>
      </c>
      <c r="C3" s="134" t="s">
        <v>10</v>
      </c>
      <c r="D3" s="154" t="s">
        <v>22</v>
      </c>
      <c r="E3" s="154"/>
      <c r="F3" s="154"/>
      <c r="G3" s="154" t="s">
        <v>64</v>
      </c>
      <c r="H3" s="154"/>
      <c r="I3" s="154"/>
      <c r="J3" s="154" t="s">
        <v>122</v>
      </c>
      <c r="K3" s="154"/>
      <c r="L3" s="155"/>
    </row>
    <row r="4" spans="2:16" ht="19.149999999999999" customHeight="1" thickBot="1" x14ac:dyDescent="0.25">
      <c r="B4" s="157"/>
      <c r="C4" s="141"/>
      <c r="D4" s="99">
        <v>2023</v>
      </c>
      <c r="E4" s="99">
        <v>2024</v>
      </c>
      <c r="F4" s="99">
        <v>2025</v>
      </c>
      <c r="G4" s="99">
        <v>2023</v>
      </c>
      <c r="H4" s="99">
        <v>2024</v>
      </c>
      <c r="I4" s="99">
        <v>2025</v>
      </c>
      <c r="J4" s="99">
        <v>2023</v>
      </c>
      <c r="K4" s="99">
        <v>2024</v>
      </c>
      <c r="L4" s="95">
        <v>2025</v>
      </c>
    </row>
    <row r="5" spans="2:16" ht="17.45" customHeight="1" x14ac:dyDescent="0.2">
      <c r="B5" s="16">
        <v>1</v>
      </c>
      <c r="C5" s="65" t="s">
        <v>79</v>
      </c>
      <c r="D5" s="10">
        <f>expenditure!G5/expenditure!J5*100</f>
        <v>96.248534583821794</v>
      </c>
      <c r="E5" s="10">
        <f>expenditure!H5/expenditure!K5*100</f>
        <v>95.983716308309369</v>
      </c>
      <c r="F5" s="10">
        <f>expenditure!I5/expenditure!L5*100</f>
        <v>98.324892692028413</v>
      </c>
      <c r="G5" s="10">
        <v>2.71</v>
      </c>
      <c r="H5" s="10">
        <v>4.6399999999999997</v>
      </c>
      <c r="I5" s="10">
        <v>5.0999999999999996</v>
      </c>
      <c r="J5" s="30">
        <v>70.55</v>
      </c>
      <c r="K5" s="10">
        <v>96.32</v>
      </c>
      <c r="L5" s="31">
        <v>87.97</v>
      </c>
      <c r="N5" s="21"/>
      <c r="O5" s="21"/>
      <c r="P5" s="21"/>
    </row>
    <row r="6" spans="2:16" ht="17.45" customHeight="1" x14ac:dyDescent="0.2">
      <c r="B6" s="15">
        <v>2</v>
      </c>
      <c r="C6" s="64" t="s">
        <v>34</v>
      </c>
      <c r="D6" s="4">
        <f>expenditure!G6/expenditure!J6*100</f>
        <v>92.536177566189636</v>
      </c>
      <c r="E6" s="4">
        <f>expenditure!H6/expenditure!K6*100</f>
        <v>90.144836807188298</v>
      </c>
      <c r="F6" s="4">
        <f>expenditure!I6/expenditure!L6*100</f>
        <v>88.1971519684285</v>
      </c>
      <c r="G6" s="49">
        <v>0.77</v>
      </c>
      <c r="H6" s="49">
        <v>0.65</v>
      </c>
      <c r="I6" s="49">
        <v>0.12</v>
      </c>
      <c r="J6" s="33">
        <v>32.340000000000003</v>
      </c>
      <c r="K6" s="33">
        <v>23.48</v>
      </c>
      <c r="L6" s="83">
        <v>17.2</v>
      </c>
      <c r="N6" s="21"/>
      <c r="O6" s="21"/>
      <c r="P6" s="21"/>
    </row>
    <row r="7" spans="2:16" ht="17.45" customHeight="1" x14ac:dyDescent="0.2">
      <c r="B7" s="15">
        <v>3</v>
      </c>
      <c r="C7" s="64" t="s">
        <v>80</v>
      </c>
      <c r="D7" s="4">
        <f>expenditure!G7/expenditure!J7*100</f>
        <v>33.62812872467223</v>
      </c>
      <c r="E7" s="4">
        <f>expenditure!H7/expenditure!K7*100</f>
        <v>15.841499129247499</v>
      </c>
      <c r="F7" s="4">
        <f>expenditure!I7/expenditure!L7*100</f>
        <v>12.480360098866726</v>
      </c>
      <c r="G7" s="4">
        <v>0.77</v>
      </c>
      <c r="H7" s="49">
        <v>0.66</v>
      </c>
      <c r="I7" s="49">
        <v>0.87</v>
      </c>
      <c r="J7" s="33">
        <v>20.11</v>
      </c>
      <c r="K7" s="33">
        <v>20.43</v>
      </c>
      <c r="L7" s="6">
        <v>17.91</v>
      </c>
      <c r="N7" s="21"/>
      <c r="O7" s="21"/>
      <c r="P7" s="21"/>
    </row>
    <row r="8" spans="2:16" ht="17.45" customHeight="1" x14ac:dyDescent="0.2">
      <c r="B8" s="15">
        <v>4</v>
      </c>
      <c r="C8" s="64" t="s">
        <v>0</v>
      </c>
      <c r="D8" s="4">
        <f>expenditure!G8/expenditure!J8*100</f>
        <v>52.607228449526588</v>
      </c>
      <c r="E8" s="4">
        <f>expenditure!H8/expenditure!K8*100</f>
        <v>35.120950959439504</v>
      </c>
      <c r="F8" s="4">
        <f>expenditure!I8/expenditure!L8*100</f>
        <v>27.840271951625301</v>
      </c>
      <c r="G8" s="4">
        <v>1.49</v>
      </c>
      <c r="H8" s="4">
        <v>2.09</v>
      </c>
      <c r="I8" s="4">
        <v>2.39</v>
      </c>
      <c r="J8" s="33">
        <v>19.82</v>
      </c>
      <c r="K8" s="33">
        <v>18.46</v>
      </c>
      <c r="L8" s="6">
        <v>19.14</v>
      </c>
      <c r="N8" s="21"/>
      <c r="O8" s="21"/>
      <c r="P8" s="21"/>
    </row>
    <row r="9" spans="2:16" ht="17.45" customHeight="1" x14ac:dyDescent="0.2">
      <c r="B9" s="15">
        <v>5</v>
      </c>
      <c r="C9" s="64" t="s">
        <v>1</v>
      </c>
      <c r="D9" s="4">
        <f>expenditure!G9/expenditure!J9*100</f>
        <v>31.873703281610705</v>
      </c>
      <c r="E9" s="4">
        <f>expenditure!H9/expenditure!K9*100</f>
        <v>30.11411973457135</v>
      </c>
      <c r="F9" s="4">
        <f>expenditure!I9/expenditure!L9*100</f>
        <v>29.527170778000382</v>
      </c>
      <c r="G9" s="4">
        <v>0.64</v>
      </c>
      <c r="H9" s="4">
        <v>0.22</v>
      </c>
      <c r="I9" s="4">
        <v>0.01</v>
      </c>
      <c r="J9" s="33">
        <v>22.13</v>
      </c>
      <c r="K9" s="33">
        <v>22.87</v>
      </c>
      <c r="L9" s="6">
        <v>29.49</v>
      </c>
      <c r="N9" s="21"/>
      <c r="O9" s="21"/>
      <c r="P9" s="21"/>
    </row>
    <row r="10" spans="2:16" ht="17.45" customHeight="1" x14ac:dyDescent="0.2">
      <c r="B10" s="15">
        <v>6</v>
      </c>
      <c r="C10" s="64" t="s">
        <v>2</v>
      </c>
      <c r="D10" s="4">
        <f>expenditure!G10/expenditure!J10*100</f>
        <v>44.533515952304228</v>
      </c>
      <c r="E10" s="4">
        <f>expenditure!H10/expenditure!K10*100</f>
        <v>41.661314493684429</v>
      </c>
      <c r="F10" s="4">
        <f>expenditure!I10/expenditure!L10*100</f>
        <v>44.865504833395832</v>
      </c>
      <c r="G10" s="4">
        <v>2.09</v>
      </c>
      <c r="H10" s="4">
        <v>1.4</v>
      </c>
      <c r="I10" s="4">
        <v>1.55</v>
      </c>
      <c r="J10" s="33">
        <v>30.75</v>
      </c>
      <c r="K10" s="33">
        <v>33.26</v>
      </c>
      <c r="L10" s="6">
        <v>27.47</v>
      </c>
      <c r="N10" s="21"/>
      <c r="O10" s="21"/>
      <c r="P10" s="21"/>
    </row>
    <row r="11" spans="2:16" ht="17.45" customHeight="1" x14ac:dyDescent="0.2">
      <c r="B11" s="15">
        <v>7</v>
      </c>
      <c r="C11" s="64" t="s">
        <v>77</v>
      </c>
      <c r="D11" s="4">
        <f>expenditure!G11/expenditure!J11*100</f>
        <v>94.630500968724064</v>
      </c>
      <c r="E11" s="4">
        <f>expenditure!H11/expenditure!K11*100</f>
        <v>92.955826277956206</v>
      </c>
      <c r="F11" s="4">
        <f>expenditure!I11/expenditure!L11*100</f>
        <v>97.967671852839473</v>
      </c>
      <c r="G11" s="4">
        <v>1.68</v>
      </c>
      <c r="H11" s="4">
        <v>0.53</v>
      </c>
      <c r="I11" s="4">
        <v>0.64</v>
      </c>
      <c r="J11" s="12">
        <v>108.59</v>
      </c>
      <c r="K11" s="12">
        <v>133.61000000000001</v>
      </c>
      <c r="L11" s="6">
        <v>125.15</v>
      </c>
      <c r="N11" s="21"/>
      <c r="O11" s="21"/>
      <c r="P11" s="21"/>
    </row>
    <row r="12" spans="2:16" ht="17.45" customHeight="1" x14ac:dyDescent="0.2">
      <c r="B12" s="15">
        <v>8</v>
      </c>
      <c r="C12" s="64" t="s">
        <v>92</v>
      </c>
      <c r="D12" s="4">
        <f>expenditure!G12/expenditure!J12*100</f>
        <v>73.214706575536184</v>
      </c>
      <c r="E12" s="4">
        <f>expenditure!H12/expenditure!K12*100</f>
        <v>98.706240487062416</v>
      </c>
      <c r="F12" s="4">
        <f>expenditure!I12/expenditure!L12*100</f>
        <v>98.409132686714017</v>
      </c>
      <c r="G12" s="59">
        <v>-0.65</v>
      </c>
      <c r="H12" s="49">
        <v>3.17</v>
      </c>
      <c r="I12" s="49">
        <v>2.0299999999999998</v>
      </c>
      <c r="J12" s="33">
        <v>132.27000000000001</v>
      </c>
      <c r="K12" s="33">
        <v>510.88</v>
      </c>
      <c r="L12" s="6">
        <v>477.89</v>
      </c>
      <c r="N12" s="21"/>
      <c r="O12" s="21"/>
      <c r="P12" s="21"/>
    </row>
    <row r="13" spans="2:16" ht="17.45" customHeight="1" x14ac:dyDescent="0.2">
      <c r="B13" s="15">
        <v>9</v>
      </c>
      <c r="C13" s="64" t="s">
        <v>3</v>
      </c>
      <c r="D13" s="4">
        <f>expenditure!G13/expenditure!J13*100</f>
        <v>41.850090069804104</v>
      </c>
      <c r="E13" s="4">
        <f>expenditure!H13/expenditure!K13*100</f>
        <v>31.18652979883116</v>
      </c>
      <c r="F13" s="4">
        <f>expenditure!I13/expenditure!L13*100</f>
        <v>29.576324911133916</v>
      </c>
      <c r="G13" s="4">
        <v>1.47</v>
      </c>
      <c r="H13" s="4">
        <v>1.55</v>
      </c>
      <c r="I13" s="4">
        <v>1.68</v>
      </c>
      <c r="J13" s="33">
        <v>17.28</v>
      </c>
      <c r="K13" s="33">
        <v>15.93</v>
      </c>
      <c r="L13" s="6">
        <v>19.16</v>
      </c>
      <c r="N13" s="21"/>
      <c r="O13" s="21"/>
      <c r="P13" s="21"/>
    </row>
    <row r="14" spans="2:16" ht="17.45" customHeight="1" x14ac:dyDescent="0.2">
      <c r="B14" s="15">
        <v>10</v>
      </c>
      <c r="C14" s="64" t="s">
        <v>4</v>
      </c>
      <c r="D14" s="4">
        <f>expenditure!G14/expenditure!J14*100</f>
        <v>30.908319143641965</v>
      </c>
      <c r="E14" s="4">
        <f>expenditure!H14/expenditure!K14*100</f>
        <v>26.778262252362239</v>
      </c>
      <c r="F14" s="4">
        <f>expenditure!I14/expenditure!L14*100</f>
        <v>24.114084792476536</v>
      </c>
      <c r="G14" s="4">
        <v>0.95</v>
      </c>
      <c r="H14" s="4">
        <v>1.18</v>
      </c>
      <c r="I14" s="4">
        <v>1.01</v>
      </c>
      <c r="J14" s="33">
        <v>15.83</v>
      </c>
      <c r="K14" s="12">
        <v>17</v>
      </c>
      <c r="L14" s="6">
        <v>16.62</v>
      </c>
      <c r="N14" s="21"/>
      <c r="O14" s="21"/>
      <c r="P14" s="21"/>
    </row>
    <row r="15" spans="2:16" ht="17.45" customHeight="1" x14ac:dyDescent="0.2">
      <c r="B15" s="15">
        <v>11</v>
      </c>
      <c r="C15" s="64" t="s">
        <v>47</v>
      </c>
      <c r="D15" s="4">
        <f>expenditure!G15/expenditure!J15*100</f>
        <v>61.072022046537612</v>
      </c>
      <c r="E15" s="4">
        <f>expenditure!H15/expenditure!K15*100</f>
        <v>48.376921455239533</v>
      </c>
      <c r="F15" s="4">
        <f>expenditure!I15/expenditure!L15*100</f>
        <v>53.334760431941874</v>
      </c>
      <c r="G15" s="4">
        <v>1.92</v>
      </c>
      <c r="H15" s="4">
        <v>2.52</v>
      </c>
      <c r="I15" s="4">
        <v>2.29</v>
      </c>
      <c r="J15" s="33">
        <v>20.68</v>
      </c>
      <c r="K15" s="33">
        <v>18.71</v>
      </c>
      <c r="L15" s="6">
        <v>20.38</v>
      </c>
      <c r="N15" s="21"/>
      <c r="O15" s="21"/>
      <c r="P15" s="21"/>
    </row>
    <row r="16" spans="2:16" ht="17.45" customHeight="1" x14ac:dyDescent="0.2">
      <c r="B16" s="15">
        <v>12</v>
      </c>
      <c r="C16" s="64" t="s">
        <v>119</v>
      </c>
      <c r="D16" s="4">
        <f>expenditure!G16/expenditure!J16*100</f>
        <v>68.430212321615031</v>
      </c>
      <c r="E16" s="4">
        <f>expenditure!H16/expenditure!K16*100</f>
        <v>95.446836749741919</v>
      </c>
      <c r="F16" s="4">
        <f>expenditure!I16/expenditure!L16*100</f>
        <v>100</v>
      </c>
      <c r="G16" s="4">
        <v>0.87</v>
      </c>
      <c r="H16" s="4">
        <v>4.12</v>
      </c>
      <c r="I16" s="4">
        <v>1.68</v>
      </c>
      <c r="J16" s="4">
        <v>74.400000000000006</v>
      </c>
      <c r="K16" s="33">
        <v>160.76</v>
      </c>
      <c r="L16" s="6">
        <v>187.44</v>
      </c>
      <c r="N16" s="21"/>
      <c r="O16" s="21"/>
      <c r="P16" s="21"/>
    </row>
    <row r="17" spans="2:16" ht="17.45" customHeight="1" x14ac:dyDescent="0.2">
      <c r="B17" s="15">
        <v>13</v>
      </c>
      <c r="C17" s="64" t="s">
        <v>41</v>
      </c>
      <c r="D17" s="4">
        <f>expenditure!G17/expenditure!J17*100</f>
        <v>33.284866109293588</v>
      </c>
      <c r="E17" s="4">
        <f>expenditure!H17/expenditure!K17*100</f>
        <v>27.389469212522648</v>
      </c>
      <c r="F17" s="4">
        <f>expenditure!I17/expenditure!L17*100</f>
        <v>23.002995256316552</v>
      </c>
      <c r="G17" s="4">
        <v>0.36</v>
      </c>
      <c r="H17" s="4">
        <v>0.63</v>
      </c>
      <c r="I17" s="4">
        <v>0.84</v>
      </c>
      <c r="J17" s="33">
        <v>13.65</v>
      </c>
      <c r="K17" s="12">
        <v>14.4</v>
      </c>
      <c r="L17" s="6">
        <v>20.34</v>
      </c>
      <c r="N17" s="21"/>
      <c r="O17" s="21"/>
      <c r="P17" s="21"/>
    </row>
    <row r="18" spans="2:16" ht="17.45" customHeight="1" x14ac:dyDescent="0.2">
      <c r="B18" s="15">
        <v>14</v>
      </c>
      <c r="C18" s="64" t="s">
        <v>104</v>
      </c>
      <c r="D18" s="4">
        <f>expenditure!G18/expenditure!J18*100</f>
        <v>10.416629859827777</v>
      </c>
      <c r="E18" s="4">
        <f>expenditure!H18/expenditure!K18*100</f>
        <v>19.905997919532389</v>
      </c>
      <c r="F18" s="4">
        <f>expenditure!I18/expenditure!L18*100</f>
        <v>42.068501745803978</v>
      </c>
      <c r="G18" s="4">
        <v>1.1599999999999999</v>
      </c>
      <c r="H18" s="4">
        <v>1.32</v>
      </c>
      <c r="I18" s="4">
        <v>2.74</v>
      </c>
      <c r="J18" s="33">
        <v>46.96</v>
      </c>
      <c r="K18" s="33">
        <v>86.97</v>
      </c>
      <c r="L18" s="6">
        <v>178.76</v>
      </c>
      <c r="N18" s="21"/>
      <c r="O18" s="21"/>
      <c r="P18" s="21"/>
    </row>
    <row r="19" spans="2:16" ht="17.45" customHeight="1" x14ac:dyDescent="0.2">
      <c r="B19" s="15">
        <v>15</v>
      </c>
      <c r="C19" s="64" t="s">
        <v>98</v>
      </c>
      <c r="D19" s="4">
        <f>expenditure!G19/expenditure!J19*100</f>
        <v>40.006406149903903</v>
      </c>
      <c r="E19" s="4">
        <f>expenditure!H19/expenditure!K19*100</f>
        <v>36.157926857893997</v>
      </c>
      <c r="F19" s="4">
        <f>expenditure!I19/expenditure!L19*100</f>
        <v>35.026751376443158</v>
      </c>
      <c r="G19" s="4">
        <v>0.37</v>
      </c>
      <c r="H19" s="4">
        <v>0.96</v>
      </c>
      <c r="I19" s="4">
        <v>0.8</v>
      </c>
      <c r="J19" s="33">
        <v>23.53</v>
      </c>
      <c r="K19" s="12">
        <v>35.1</v>
      </c>
      <c r="L19" s="6">
        <v>24.07</v>
      </c>
      <c r="N19" s="21"/>
      <c r="O19" s="21"/>
      <c r="P19" s="21"/>
    </row>
    <row r="20" spans="2:16" ht="17.45" customHeight="1" x14ac:dyDescent="0.2">
      <c r="B20" s="15">
        <v>16</v>
      </c>
      <c r="C20" s="64" t="s">
        <v>53</v>
      </c>
      <c r="D20" s="4">
        <f>expenditure!G20/expenditure!J20*100</f>
        <v>46.941852719715591</v>
      </c>
      <c r="E20" s="4">
        <f>expenditure!H20/expenditure!K20*100</f>
        <v>40.965085204499104</v>
      </c>
      <c r="F20" s="4">
        <f>expenditure!I20/expenditure!L20*100</f>
        <v>38.439881563985246</v>
      </c>
      <c r="G20" s="4">
        <v>0.22</v>
      </c>
      <c r="H20" s="4">
        <v>0.33</v>
      </c>
      <c r="I20" s="4">
        <v>0.53</v>
      </c>
      <c r="J20" s="33">
        <v>14.99</v>
      </c>
      <c r="K20" s="33">
        <v>15.75</v>
      </c>
      <c r="L20" s="6">
        <v>16.809999999999999</v>
      </c>
      <c r="N20" s="21"/>
      <c r="O20" s="21"/>
      <c r="P20" s="21"/>
    </row>
    <row r="21" spans="2:16" ht="17.45" customHeight="1" x14ac:dyDescent="0.2">
      <c r="B21" s="15">
        <v>17</v>
      </c>
      <c r="C21" s="64" t="s">
        <v>71</v>
      </c>
      <c r="D21" s="4">
        <f>expenditure!G21/expenditure!J21*100</f>
        <v>45.224987495350831</v>
      </c>
      <c r="E21" s="4">
        <f>expenditure!H21/expenditure!K21*100</f>
        <v>44.558529818021618</v>
      </c>
      <c r="F21" s="4">
        <f>expenditure!I21/expenditure!L21*100</f>
        <v>43.426249949950993</v>
      </c>
      <c r="G21" s="4">
        <v>1.07</v>
      </c>
      <c r="H21" s="4">
        <v>1.34</v>
      </c>
      <c r="I21" s="4">
        <v>2.12</v>
      </c>
      <c r="J21" s="33">
        <v>15.41</v>
      </c>
      <c r="K21" s="33">
        <v>16.260000000000002</v>
      </c>
      <c r="L21" s="6">
        <v>17.690000000000001</v>
      </c>
      <c r="N21" s="21"/>
      <c r="O21" s="21"/>
      <c r="P21" s="21"/>
    </row>
    <row r="22" spans="2:16" ht="17.45" customHeight="1" x14ac:dyDescent="0.2">
      <c r="B22" s="15">
        <v>18</v>
      </c>
      <c r="C22" s="64" t="s">
        <v>60</v>
      </c>
      <c r="D22" s="4">
        <f>expenditure!G22/expenditure!J22*100</f>
        <v>58.657243816254415</v>
      </c>
      <c r="E22" s="4">
        <f>expenditure!H22/expenditure!K22*100</f>
        <v>46.29489124936773</v>
      </c>
      <c r="F22" s="4">
        <f>expenditure!I22/expenditure!L22*100</f>
        <v>37.672337547474122</v>
      </c>
      <c r="G22" s="4">
        <v>2.86</v>
      </c>
      <c r="H22" s="4">
        <v>2.23</v>
      </c>
      <c r="I22" s="4">
        <v>0.89</v>
      </c>
      <c r="J22" s="33">
        <v>29.34</v>
      </c>
      <c r="K22" s="12">
        <v>40</v>
      </c>
      <c r="L22" s="6">
        <v>41.43</v>
      </c>
      <c r="N22" s="21"/>
      <c r="O22" s="21"/>
      <c r="P22" s="21"/>
    </row>
    <row r="23" spans="2:16" ht="17.45" customHeight="1" x14ac:dyDescent="0.2">
      <c r="B23" s="15">
        <v>19</v>
      </c>
      <c r="C23" s="64" t="s">
        <v>99</v>
      </c>
      <c r="D23" s="4">
        <f>expenditure!G23/expenditure!J23*100</f>
        <v>43.478797351211284</v>
      </c>
      <c r="E23" s="4">
        <f>expenditure!H23/expenditure!K23*100</f>
        <v>28.640807993983024</v>
      </c>
      <c r="F23" s="4">
        <f>expenditure!I23/expenditure!L23*100</f>
        <v>26.343266565054062</v>
      </c>
      <c r="G23" s="4">
        <v>0.8</v>
      </c>
      <c r="H23" s="4">
        <v>0.97</v>
      </c>
      <c r="I23" s="4">
        <v>0.91</v>
      </c>
      <c r="J23" s="12">
        <v>52.25</v>
      </c>
      <c r="K23" s="12">
        <v>38.909999999999997</v>
      </c>
      <c r="L23" s="6">
        <v>30.02</v>
      </c>
      <c r="N23" s="21"/>
      <c r="O23" s="21"/>
      <c r="P23" s="21"/>
    </row>
    <row r="24" spans="2:16" ht="17.45" customHeight="1" x14ac:dyDescent="0.2">
      <c r="B24" s="15">
        <v>20</v>
      </c>
      <c r="C24" s="64" t="s">
        <v>66</v>
      </c>
      <c r="D24" s="4">
        <f>expenditure!G24/expenditure!J24*100</f>
        <v>22.494068423603846</v>
      </c>
      <c r="E24" s="4">
        <f>expenditure!H24/expenditure!K24*100</f>
        <v>20.884816490468854</v>
      </c>
      <c r="F24" s="4">
        <f>expenditure!I24/expenditure!L24*100</f>
        <v>25.25655507221995</v>
      </c>
      <c r="G24" s="47">
        <v>-0.31</v>
      </c>
      <c r="H24" s="4">
        <v>1.25</v>
      </c>
      <c r="I24" s="4">
        <v>0.6</v>
      </c>
      <c r="J24" s="4">
        <v>33.159999999999997</v>
      </c>
      <c r="K24" s="12">
        <v>37.4</v>
      </c>
      <c r="L24" s="6">
        <v>26.03</v>
      </c>
      <c r="N24" s="21"/>
      <c r="O24" s="21"/>
      <c r="P24" s="21"/>
    </row>
    <row r="25" spans="2:16" ht="17.45" customHeight="1" x14ac:dyDescent="0.2">
      <c r="B25" s="15">
        <v>21</v>
      </c>
      <c r="C25" s="64" t="s">
        <v>39</v>
      </c>
      <c r="D25" s="4">
        <f>expenditure!G25/expenditure!J25*100</f>
        <v>100</v>
      </c>
      <c r="E25" s="4">
        <f>expenditure!H25/expenditure!K25*100</f>
        <v>100</v>
      </c>
      <c r="F25" s="4">
        <f>expenditure!I25/expenditure!L25*100</f>
        <v>100</v>
      </c>
      <c r="G25" s="4">
        <v>4.9000000000000004</v>
      </c>
      <c r="H25" s="4">
        <v>2.2799999999999998</v>
      </c>
      <c r="I25" s="4">
        <v>1.68</v>
      </c>
      <c r="J25" s="12">
        <v>218.1</v>
      </c>
      <c r="K25" s="33">
        <v>252.74</v>
      </c>
      <c r="L25" s="6">
        <v>304.26</v>
      </c>
      <c r="N25" s="21"/>
      <c r="O25" s="21"/>
      <c r="P25" s="21"/>
    </row>
    <row r="26" spans="2:16" ht="17.45" customHeight="1" x14ac:dyDescent="0.2">
      <c r="B26" s="15">
        <v>22</v>
      </c>
      <c r="C26" s="64" t="s">
        <v>91</v>
      </c>
      <c r="D26" s="4">
        <f>expenditure!G26/expenditure!J26*100</f>
        <v>43.727886573076944</v>
      </c>
      <c r="E26" s="4">
        <f>expenditure!H26/expenditure!K26*100</f>
        <v>39.697619242480286</v>
      </c>
      <c r="F26" s="4">
        <f>expenditure!I26/expenditure!L26*100</f>
        <v>38.186661634786326</v>
      </c>
      <c r="G26" s="4">
        <v>1.25</v>
      </c>
      <c r="H26" s="4">
        <v>1.89</v>
      </c>
      <c r="I26" s="4">
        <v>1.83</v>
      </c>
      <c r="J26" s="4">
        <v>16.600000000000001</v>
      </c>
      <c r="K26" s="33">
        <v>15.88</v>
      </c>
      <c r="L26" s="6">
        <v>16.34</v>
      </c>
      <c r="N26" s="21"/>
      <c r="O26" s="21"/>
      <c r="P26" s="21"/>
    </row>
    <row r="27" spans="2:16" ht="17.45" customHeight="1" x14ac:dyDescent="0.2">
      <c r="B27" s="15">
        <v>23</v>
      </c>
      <c r="C27" s="64" t="s">
        <v>59</v>
      </c>
      <c r="D27" s="4">
        <f>expenditure!G27/expenditure!J27*100</f>
        <v>77.195945945945951</v>
      </c>
      <c r="E27" s="4">
        <f>expenditure!H27/expenditure!K27*100</f>
        <v>64.544973050440845</v>
      </c>
      <c r="F27" s="4">
        <f>expenditure!I27/expenditure!L27*100</f>
        <v>64.294340601536277</v>
      </c>
      <c r="G27" s="4">
        <v>1.99</v>
      </c>
      <c r="H27" s="4">
        <v>2.0299999999999998</v>
      </c>
      <c r="I27" s="4">
        <v>2.1</v>
      </c>
      <c r="J27" s="33">
        <v>70.02</v>
      </c>
      <c r="K27" s="33">
        <v>66.36</v>
      </c>
      <c r="L27" s="6">
        <v>96.44</v>
      </c>
      <c r="N27" s="21"/>
      <c r="O27" s="21"/>
      <c r="P27" s="21"/>
    </row>
    <row r="28" spans="2:16" ht="17.45" customHeight="1" x14ac:dyDescent="0.2">
      <c r="B28" s="15">
        <v>24</v>
      </c>
      <c r="C28" s="64" t="s">
        <v>95</v>
      </c>
      <c r="D28" s="4">
        <f>expenditure!G28/expenditure!J28*100</f>
        <v>27.426825662757466</v>
      </c>
      <c r="E28" s="4">
        <f>expenditure!H28/expenditure!K28*100</f>
        <v>18.647954169911994</v>
      </c>
      <c r="F28" s="4">
        <f>expenditure!I28/expenditure!L28*100</f>
        <v>21.088600481623661</v>
      </c>
      <c r="G28" s="4">
        <v>0.36</v>
      </c>
      <c r="H28" s="4">
        <v>0.99</v>
      </c>
      <c r="I28" s="4">
        <v>1.1599999999999999</v>
      </c>
      <c r="J28" s="33">
        <v>30.86</v>
      </c>
      <c r="K28" s="33">
        <v>21.91</v>
      </c>
      <c r="L28" s="6">
        <v>26.79</v>
      </c>
      <c r="N28" s="21"/>
      <c r="O28" s="21"/>
      <c r="P28" s="21"/>
    </row>
    <row r="29" spans="2:16" ht="17.45" customHeight="1" x14ac:dyDescent="0.2">
      <c r="B29" s="15">
        <v>25</v>
      </c>
      <c r="C29" s="64" t="s">
        <v>6</v>
      </c>
      <c r="D29" s="4">
        <f>expenditure!G29/expenditure!J29*100</f>
        <v>39.18183232228963</v>
      </c>
      <c r="E29" s="4">
        <f>expenditure!H29/expenditure!K29*100</f>
        <v>28.933654090809135</v>
      </c>
      <c r="F29" s="4">
        <f>expenditure!I29/expenditure!L29*100</f>
        <v>26.315699969626738</v>
      </c>
      <c r="G29" s="4">
        <v>2.0699999999999998</v>
      </c>
      <c r="H29" s="4">
        <v>2.38</v>
      </c>
      <c r="I29" s="4">
        <v>2.93</v>
      </c>
      <c r="J29" s="33">
        <v>21.91</v>
      </c>
      <c r="K29" s="33">
        <v>21.51</v>
      </c>
      <c r="L29" s="6">
        <v>20.010000000000002</v>
      </c>
      <c r="N29" s="21"/>
      <c r="O29" s="21"/>
      <c r="P29" s="21"/>
    </row>
    <row r="30" spans="2:16" ht="17.45" customHeight="1" x14ac:dyDescent="0.2">
      <c r="B30" s="15">
        <v>26</v>
      </c>
      <c r="C30" s="64" t="s">
        <v>35</v>
      </c>
      <c r="D30" s="4">
        <f>expenditure!G30/expenditure!J30*100</f>
        <v>100</v>
      </c>
      <c r="E30" s="4">
        <f>expenditure!H30/expenditure!K30*100</f>
        <v>100</v>
      </c>
      <c r="F30" s="4">
        <f>expenditure!I30/expenditure!L30*100</f>
        <v>100</v>
      </c>
      <c r="G30" s="4">
        <v>0.15</v>
      </c>
      <c r="H30" s="4">
        <v>1.2</v>
      </c>
      <c r="I30" s="4">
        <v>5.28</v>
      </c>
      <c r="J30" s="33">
        <v>116.72</v>
      </c>
      <c r="K30" s="33">
        <v>188.29</v>
      </c>
      <c r="L30" s="6">
        <v>193.76</v>
      </c>
      <c r="N30" s="21"/>
      <c r="O30" s="21"/>
      <c r="P30" s="21"/>
    </row>
    <row r="31" spans="2:16" ht="17.45" customHeight="1" x14ac:dyDescent="0.2">
      <c r="B31" s="15">
        <v>27</v>
      </c>
      <c r="C31" s="64" t="s">
        <v>62</v>
      </c>
      <c r="D31" s="4">
        <f>expenditure!G31/expenditure!J31*100</f>
        <v>33.082963468760667</v>
      </c>
      <c r="E31" s="4">
        <f>expenditure!H31/expenditure!K31*100</f>
        <v>21.171584201109233</v>
      </c>
      <c r="F31" s="4">
        <f>expenditure!I31/expenditure!L31*100</f>
        <v>20.694214173177784</v>
      </c>
      <c r="G31" s="4">
        <v>0.86</v>
      </c>
      <c r="H31" s="4">
        <v>1.34</v>
      </c>
      <c r="I31" s="4">
        <v>1.99</v>
      </c>
      <c r="J31" s="33">
        <v>31.08</v>
      </c>
      <c r="K31" s="33">
        <v>30.96</v>
      </c>
      <c r="L31" s="6">
        <v>30.95</v>
      </c>
      <c r="N31" s="21"/>
      <c r="O31" s="21"/>
      <c r="P31" s="21"/>
    </row>
    <row r="32" spans="2:16" ht="17.45" customHeight="1" x14ac:dyDescent="0.2">
      <c r="B32" s="15">
        <v>28</v>
      </c>
      <c r="C32" s="64" t="s">
        <v>78</v>
      </c>
      <c r="D32" s="4">
        <f>expenditure!G32/expenditure!J32*100</f>
        <v>20.928322941394324</v>
      </c>
      <c r="E32" s="4">
        <f>expenditure!H32/expenditure!K32*100</f>
        <v>14.371387864645211</v>
      </c>
      <c r="F32" s="4">
        <f>expenditure!I32/expenditure!L32*100</f>
        <v>21.310424885911587</v>
      </c>
      <c r="G32" s="4">
        <v>0.03</v>
      </c>
      <c r="H32" s="4">
        <v>0.13</v>
      </c>
      <c r="I32" s="47">
        <v>-0.02</v>
      </c>
      <c r="J32" s="12">
        <v>43.9</v>
      </c>
      <c r="K32" s="12">
        <v>35.020000000000003</v>
      </c>
      <c r="L32" s="6">
        <v>29.41</v>
      </c>
      <c r="N32" s="21"/>
      <c r="O32" s="21"/>
      <c r="P32" s="21"/>
    </row>
    <row r="33" spans="2:16" ht="17.45" customHeight="1" x14ac:dyDescent="0.2">
      <c r="B33" s="15">
        <v>29</v>
      </c>
      <c r="C33" s="64" t="s">
        <v>49</v>
      </c>
      <c r="D33" s="4">
        <f>expenditure!G33/expenditure!J33*100</f>
        <v>100</v>
      </c>
      <c r="E33" s="4" t="s">
        <v>105</v>
      </c>
      <c r="F33" s="4" t="s">
        <v>105</v>
      </c>
      <c r="G33" s="47">
        <v>-2.86</v>
      </c>
      <c r="H33" s="47" t="s">
        <v>105</v>
      </c>
      <c r="I33" s="47" t="s">
        <v>105</v>
      </c>
      <c r="J33" s="33">
        <v>232.72</v>
      </c>
      <c r="K33" s="33" t="s">
        <v>105</v>
      </c>
      <c r="L33" s="6" t="s">
        <v>105</v>
      </c>
      <c r="N33" s="21"/>
      <c r="O33" s="21"/>
      <c r="P33" s="21"/>
    </row>
    <row r="34" spans="2:16" ht="17.45" customHeight="1" x14ac:dyDescent="0.2">
      <c r="B34" s="15">
        <v>30</v>
      </c>
      <c r="C34" s="64" t="s">
        <v>7</v>
      </c>
      <c r="D34" s="4">
        <f>expenditure!G34/expenditure!J34*100</f>
        <v>93.292851228263871</v>
      </c>
      <c r="E34" s="4">
        <f>expenditure!H34/expenditure!K34*100</f>
        <v>89.5367412140575</v>
      </c>
      <c r="F34" s="4">
        <f>expenditure!I34/expenditure!L34*100</f>
        <v>57.498463870044304</v>
      </c>
      <c r="G34" s="4">
        <v>2.35</v>
      </c>
      <c r="H34" s="4">
        <v>3</v>
      </c>
      <c r="I34" s="4">
        <v>1.97</v>
      </c>
      <c r="J34" s="33">
        <v>69.510000000000005</v>
      </c>
      <c r="K34" s="33">
        <v>66.31</v>
      </c>
      <c r="L34" s="6">
        <v>36.71</v>
      </c>
      <c r="N34" s="21"/>
      <c r="O34" s="21"/>
      <c r="P34" s="21"/>
    </row>
    <row r="35" spans="2:16" ht="17.45" customHeight="1" x14ac:dyDescent="0.2">
      <c r="B35" s="15">
        <v>31</v>
      </c>
      <c r="C35" s="64" t="s">
        <v>54</v>
      </c>
      <c r="D35" s="4">
        <f>expenditure!G35/expenditure!J35*100</f>
        <v>32.435420881757871</v>
      </c>
      <c r="E35" s="4">
        <f>expenditure!H35/expenditure!K35*100</f>
        <v>30.409996897273533</v>
      </c>
      <c r="F35" s="4">
        <f>expenditure!I35/expenditure!L35*100</f>
        <v>19.345850074573729</v>
      </c>
      <c r="G35" s="4">
        <v>1.07</v>
      </c>
      <c r="H35" s="4">
        <v>1.4</v>
      </c>
      <c r="I35" s="4">
        <v>1.57</v>
      </c>
      <c r="J35" s="33">
        <v>18.21</v>
      </c>
      <c r="K35" s="33">
        <v>23.37</v>
      </c>
      <c r="L35" s="6">
        <v>21.95</v>
      </c>
      <c r="N35" s="21"/>
      <c r="O35" s="21"/>
      <c r="P35" s="21"/>
    </row>
    <row r="36" spans="2:16" ht="17.45" customHeight="1" x14ac:dyDescent="0.2">
      <c r="B36" s="15">
        <v>32</v>
      </c>
      <c r="C36" s="64" t="s">
        <v>96</v>
      </c>
      <c r="D36" s="4">
        <f>expenditure!G36/expenditure!J36*100</f>
        <v>33.218950225763692</v>
      </c>
      <c r="E36" s="4">
        <f>expenditure!H36/expenditure!K36*100</f>
        <v>40.57474048258041</v>
      </c>
      <c r="F36" s="4">
        <f>expenditure!I36/expenditure!L36*100</f>
        <v>35.65271558685199</v>
      </c>
      <c r="G36" s="4">
        <v>1.55</v>
      </c>
      <c r="H36" s="4">
        <v>1.07</v>
      </c>
      <c r="I36" s="4">
        <v>1.68</v>
      </c>
      <c r="J36" s="33">
        <v>24.28</v>
      </c>
      <c r="K36" s="33">
        <v>22.87</v>
      </c>
      <c r="L36" s="6">
        <v>16.510000000000002</v>
      </c>
      <c r="N36" s="21"/>
      <c r="O36" s="21"/>
      <c r="P36" s="21"/>
    </row>
    <row r="37" spans="2:16" ht="17.45" customHeight="1" x14ac:dyDescent="0.2">
      <c r="B37" s="15">
        <v>33</v>
      </c>
      <c r="C37" s="64" t="s">
        <v>83</v>
      </c>
      <c r="D37" s="4">
        <f>expenditure!G37/expenditure!J37*100</f>
        <v>43.497787795308454</v>
      </c>
      <c r="E37" s="4">
        <f>expenditure!H37/expenditure!K37*100</f>
        <v>15.768371904181894</v>
      </c>
      <c r="F37" s="47">
        <f>expenditure!I37/expenditure!L37*100</f>
        <v>-76.218769682972891</v>
      </c>
      <c r="G37" s="47">
        <v>-1.69</v>
      </c>
      <c r="H37" s="47">
        <v>-1.79</v>
      </c>
      <c r="I37" s="4">
        <v>1.31</v>
      </c>
      <c r="J37" s="33">
        <v>348.15</v>
      </c>
      <c r="K37" s="33">
        <v>313.42</v>
      </c>
      <c r="L37" s="83">
        <v>378.4</v>
      </c>
      <c r="N37" s="21"/>
      <c r="O37" s="21"/>
      <c r="P37" s="21"/>
    </row>
    <row r="38" spans="2:16" ht="17.45" customHeight="1" x14ac:dyDescent="0.2">
      <c r="B38" s="15">
        <v>34</v>
      </c>
      <c r="C38" s="64" t="s">
        <v>114</v>
      </c>
      <c r="D38" s="4" t="s">
        <v>105</v>
      </c>
      <c r="E38" s="4">
        <f>expenditure!H38/expenditure!K38*100</f>
        <v>99.984104275949775</v>
      </c>
      <c r="F38" s="4">
        <f>expenditure!I38/expenditure!L38*100</f>
        <v>98.100078979531517</v>
      </c>
      <c r="G38" s="47" t="s">
        <v>105</v>
      </c>
      <c r="H38" s="47">
        <v>-0.1</v>
      </c>
      <c r="I38" s="47">
        <v>-0.17</v>
      </c>
      <c r="J38" s="33" t="s">
        <v>105</v>
      </c>
      <c r="K38" s="33">
        <v>123.01</v>
      </c>
      <c r="L38" s="6">
        <v>82.86</v>
      </c>
      <c r="N38" s="21"/>
      <c r="O38" s="21"/>
      <c r="P38" s="21"/>
    </row>
    <row r="39" spans="2:16" ht="17.45" customHeight="1" x14ac:dyDescent="0.2">
      <c r="B39" s="15">
        <v>35</v>
      </c>
      <c r="C39" s="64" t="s">
        <v>61</v>
      </c>
      <c r="D39" s="4">
        <f>expenditure!G39/expenditure!J39*100</f>
        <v>88.60954335556697</v>
      </c>
      <c r="E39" s="4">
        <f>expenditure!H39/expenditure!K39*100</f>
        <v>85.886259858862601</v>
      </c>
      <c r="F39" s="4">
        <f>expenditure!I39/expenditure!L39*100</f>
        <v>76.097156171204233</v>
      </c>
      <c r="G39" s="4">
        <v>0.61</v>
      </c>
      <c r="H39" s="4">
        <v>3.1</v>
      </c>
      <c r="I39" s="4">
        <v>3.64</v>
      </c>
      <c r="J39" s="33">
        <v>60.13</v>
      </c>
      <c r="K39" s="33">
        <v>90.77</v>
      </c>
      <c r="L39" s="6">
        <v>74.87</v>
      </c>
      <c r="N39" s="21"/>
      <c r="O39" s="21"/>
      <c r="P39" s="21"/>
    </row>
    <row r="40" spans="2:16" ht="17.45" customHeight="1" x14ac:dyDescent="0.2">
      <c r="B40" s="15">
        <v>36</v>
      </c>
      <c r="C40" s="64" t="s">
        <v>68</v>
      </c>
      <c r="D40" s="4">
        <f>expenditure!G40/expenditure!J40*100</f>
        <v>35.1299423601982</v>
      </c>
      <c r="E40" s="4">
        <f>expenditure!H40/expenditure!K40*100</f>
        <v>36.272563176895304</v>
      </c>
      <c r="F40" s="4">
        <f>expenditure!I40/expenditure!L40*100</f>
        <v>29.038125399087981</v>
      </c>
      <c r="G40" s="4">
        <v>0.01</v>
      </c>
      <c r="H40" s="47">
        <v>-0.53</v>
      </c>
      <c r="I40" s="4">
        <v>0.61</v>
      </c>
      <c r="J40" s="12">
        <v>52.3</v>
      </c>
      <c r="K40" s="12">
        <v>42.06</v>
      </c>
      <c r="L40" s="6">
        <v>37.79</v>
      </c>
      <c r="N40" s="21"/>
      <c r="O40" s="21"/>
      <c r="P40" s="21"/>
    </row>
    <row r="41" spans="2:16" ht="17.45" customHeight="1" x14ac:dyDescent="0.2">
      <c r="B41" s="15">
        <v>37</v>
      </c>
      <c r="C41" s="64" t="s">
        <v>44</v>
      </c>
      <c r="D41" s="4">
        <f>expenditure!G41/expenditure!J41*100</f>
        <v>97.024154589371975</v>
      </c>
      <c r="E41" s="4">
        <f>expenditure!H41/expenditure!K41*100</f>
        <v>99.39450128622525</v>
      </c>
      <c r="F41" s="20" t="s">
        <v>124</v>
      </c>
      <c r="G41" s="4">
        <v>8.4700000000000006</v>
      </c>
      <c r="H41" s="4">
        <v>6.38</v>
      </c>
      <c r="I41" s="20" t="s">
        <v>124</v>
      </c>
      <c r="J41" s="33">
        <v>135.34</v>
      </c>
      <c r="K41" s="33">
        <v>143.99</v>
      </c>
      <c r="L41" s="20" t="s">
        <v>124</v>
      </c>
      <c r="N41" s="21"/>
      <c r="O41" s="21"/>
      <c r="P41" s="21"/>
    </row>
    <row r="42" spans="2:16" ht="17.45" customHeight="1" x14ac:dyDescent="0.2">
      <c r="B42" s="15">
        <v>38</v>
      </c>
      <c r="C42" s="64" t="s">
        <v>74</v>
      </c>
      <c r="D42" s="4">
        <f>expenditure!G42/expenditure!J42*100</f>
        <v>45.333204721656202</v>
      </c>
      <c r="E42" s="4">
        <f>expenditure!H42/expenditure!K42*100</f>
        <v>44.836048945857158</v>
      </c>
      <c r="F42" s="4">
        <f>expenditure!I42/expenditure!L42*100</f>
        <v>44.331859492100278</v>
      </c>
      <c r="G42" s="4">
        <v>0.22</v>
      </c>
      <c r="H42" s="47">
        <v>-0.49</v>
      </c>
      <c r="I42" s="47">
        <v>-0.98</v>
      </c>
      <c r="J42" s="33">
        <v>16.16</v>
      </c>
      <c r="K42" s="12">
        <v>16.899999999999999</v>
      </c>
      <c r="L42" s="6">
        <v>15.52</v>
      </c>
      <c r="N42" s="21"/>
      <c r="O42" s="21"/>
      <c r="P42" s="21"/>
    </row>
    <row r="43" spans="2:16" ht="17.45" customHeight="1" x14ac:dyDescent="0.2">
      <c r="B43" s="15">
        <v>39</v>
      </c>
      <c r="C43" s="64" t="s">
        <v>50</v>
      </c>
      <c r="D43" s="4">
        <f>expenditure!G43/expenditure!J43*100</f>
        <v>23.218642705822194</v>
      </c>
      <c r="E43" s="4">
        <f>expenditure!H43/expenditure!K43*100</f>
        <v>22.9765685972013</v>
      </c>
      <c r="F43" s="4">
        <f>expenditure!I43/expenditure!L43*100</f>
        <v>20.415933624918146</v>
      </c>
      <c r="G43" s="4">
        <v>0.52</v>
      </c>
      <c r="H43" s="4">
        <v>0.45</v>
      </c>
      <c r="I43" s="4">
        <v>0.72</v>
      </c>
      <c r="J43" s="33">
        <v>21.14</v>
      </c>
      <c r="K43" s="33">
        <v>18.010000000000002</v>
      </c>
      <c r="L43" s="6">
        <v>16.940000000000001</v>
      </c>
      <c r="N43" s="21"/>
      <c r="O43" s="21"/>
      <c r="P43" s="21"/>
    </row>
    <row r="44" spans="2:16" ht="17.45" customHeight="1" x14ac:dyDescent="0.2">
      <c r="B44" s="15">
        <v>40</v>
      </c>
      <c r="C44" s="64" t="s">
        <v>8</v>
      </c>
      <c r="D44" s="4">
        <f>expenditure!G44/expenditure!J44*100</f>
        <v>52.951383603762672</v>
      </c>
      <c r="E44" s="4">
        <f>expenditure!H44/expenditure!K44*100</f>
        <v>45.282709806020563</v>
      </c>
      <c r="F44" s="4">
        <f>expenditure!I44/expenditure!L44*100</f>
        <v>49.37937041786639</v>
      </c>
      <c r="G44" s="4">
        <v>0.44</v>
      </c>
      <c r="H44" s="4">
        <v>0.73</v>
      </c>
      <c r="I44" s="4">
        <v>1.06</v>
      </c>
      <c r="J44" s="33">
        <v>23.64</v>
      </c>
      <c r="K44" s="33">
        <v>29.26</v>
      </c>
      <c r="L44" s="6">
        <v>26.01</v>
      </c>
      <c r="N44" s="21"/>
      <c r="O44" s="21"/>
      <c r="P44" s="21"/>
    </row>
    <row r="45" spans="2:16" ht="17.45" customHeight="1" x14ac:dyDescent="0.2">
      <c r="B45" s="15">
        <v>41</v>
      </c>
      <c r="C45" s="64" t="s">
        <v>51</v>
      </c>
      <c r="D45" s="4">
        <f>expenditure!G45/expenditure!J45*100</f>
        <v>78.663239074550134</v>
      </c>
      <c r="E45" s="4">
        <f>expenditure!H45/expenditure!K45*100</f>
        <v>76.311720441191625</v>
      </c>
      <c r="F45" s="4">
        <f>expenditure!I45/expenditure!L45*100</f>
        <v>88.063900558903612</v>
      </c>
      <c r="G45" s="4">
        <v>2.5099999999999998</v>
      </c>
      <c r="H45" s="4">
        <v>2.5299999999999998</v>
      </c>
      <c r="I45" s="4">
        <v>0.86</v>
      </c>
      <c r="J45" s="33">
        <v>67.819999999999993</v>
      </c>
      <c r="K45" s="33">
        <v>127.41</v>
      </c>
      <c r="L45" s="6">
        <v>168.68</v>
      </c>
      <c r="N45" s="21"/>
      <c r="O45" s="21"/>
      <c r="P45" s="21"/>
    </row>
    <row r="46" spans="2:16" ht="17.45" customHeight="1" x14ac:dyDescent="0.2">
      <c r="B46" s="15">
        <v>42</v>
      </c>
      <c r="C46" s="64" t="s">
        <v>9</v>
      </c>
      <c r="D46" s="4">
        <f>expenditure!G46/expenditure!J46*100</f>
        <v>49.550550337747751</v>
      </c>
      <c r="E46" s="4">
        <f>expenditure!H46/expenditure!K46*100</f>
        <v>52.904444537978243</v>
      </c>
      <c r="F46" s="4">
        <f>expenditure!I46/expenditure!L46*100</f>
        <v>54.347363055883932</v>
      </c>
      <c r="G46" s="4">
        <v>2.35</v>
      </c>
      <c r="H46" s="4">
        <v>1.63</v>
      </c>
      <c r="I46" s="4">
        <v>0.75</v>
      </c>
      <c r="J46" s="33">
        <v>17.29</v>
      </c>
      <c r="K46" s="33">
        <v>16.190000000000001</v>
      </c>
      <c r="L46" s="6">
        <v>15.16</v>
      </c>
      <c r="N46" s="21"/>
      <c r="O46" s="21"/>
      <c r="P46" s="21"/>
    </row>
    <row r="47" spans="2:16" ht="17.45" customHeight="1" x14ac:dyDescent="0.2">
      <c r="B47" s="15">
        <v>43</v>
      </c>
      <c r="C47" s="64" t="s">
        <v>84</v>
      </c>
      <c r="D47" s="4">
        <f>expenditure!G47/expenditure!J47*100</f>
        <v>25.287296416938108</v>
      </c>
      <c r="E47" s="4">
        <f>expenditure!H47/expenditure!K47*100</f>
        <v>22.681961586644324</v>
      </c>
      <c r="F47" s="4">
        <f>expenditure!I47/expenditure!L47*100</f>
        <v>17.760758154449835</v>
      </c>
      <c r="G47" s="4">
        <v>1.59</v>
      </c>
      <c r="H47" s="4">
        <v>1.26</v>
      </c>
      <c r="I47" s="4">
        <v>1.34</v>
      </c>
      <c r="J47" s="33">
        <v>35.14</v>
      </c>
      <c r="K47" s="33">
        <v>20.329999999999998</v>
      </c>
      <c r="L47" s="6">
        <v>23.29</v>
      </c>
      <c r="N47" s="21"/>
      <c r="O47" s="21"/>
      <c r="P47" s="21"/>
    </row>
    <row r="48" spans="2:16" ht="17.45" customHeight="1" x14ac:dyDescent="0.2">
      <c r="B48" s="15">
        <v>44</v>
      </c>
      <c r="C48" s="64" t="s">
        <v>40</v>
      </c>
      <c r="D48" s="4">
        <f>expenditure!G48/expenditure!J48*100</f>
        <v>55.632355688399024</v>
      </c>
      <c r="E48" s="4">
        <f>expenditure!H48/expenditure!K48*100</f>
        <v>49.52064854112939</v>
      </c>
      <c r="F48" s="4">
        <f>expenditure!I48/expenditure!L48*100</f>
        <v>57.66904981923706</v>
      </c>
      <c r="G48" s="4">
        <v>1.69</v>
      </c>
      <c r="H48" s="4">
        <v>1.28</v>
      </c>
      <c r="I48" s="4">
        <v>1.78</v>
      </c>
      <c r="J48" s="33">
        <v>180.93</v>
      </c>
      <c r="K48" s="33">
        <v>148.81</v>
      </c>
      <c r="L48" s="6">
        <v>167.78</v>
      </c>
      <c r="N48" s="21"/>
      <c r="O48" s="21"/>
      <c r="P48" s="21"/>
    </row>
    <row r="49" spans="2:16" ht="17.45" customHeight="1" thickBot="1" x14ac:dyDescent="0.25">
      <c r="B49" s="67">
        <v>45</v>
      </c>
      <c r="C49" s="68" t="s">
        <v>52</v>
      </c>
      <c r="D49" s="14">
        <f>expenditure!G49/expenditure!J49*100</f>
        <v>19.09895521394823</v>
      </c>
      <c r="E49" s="14">
        <f>expenditure!H49/expenditure!K49*100</f>
        <v>19.572648413285133</v>
      </c>
      <c r="F49" s="14">
        <f>expenditure!I49/expenditure!L49*100</f>
        <v>19.94655099359867</v>
      </c>
      <c r="G49" s="14">
        <v>0.49</v>
      </c>
      <c r="H49" s="14">
        <v>0.38</v>
      </c>
      <c r="I49" s="47">
        <v>-0.04</v>
      </c>
      <c r="J49" s="72">
        <v>53.5</v>
      </c>
      <c r="K49" s="66">
        <v>34.89</v>
      </c>
      <c r="L49" s="60">
        <v>37.75</v>
      </c>
      <c r="N49" s="21"/>
      <c r="O49" s="21"/>
      <c r="P49" s="21"/>
    </row>
    <row r="50" spans="2:16" ht="18" customHeight="1" thickBot="1" x14ac:dyDescent="0.25">
      <c r="B50" s="131" t="s">
        <v>37</v>
      </c>
      <c r="C50" s="132"/>
      <c r="D50" s="9">
        <f>expenditure!G50/expenditure!J50*100</f>
        <v>46.881287873460877</v>
      </c>
      <c r="E50" s="9">
        <f>expenditure!H50/expenditure!K50*100</f>
        <v>42.481626573112024</v>
      </c>
      <c r="F50" s="9">
        <f>expenditure!I50/expenditure!L50*100</f>
        <v>40.818419183863753</v>
      </c>
      <c r="G50" s="159"/>
      <c r="H50" s="160"/>
      <c r="I50" s="160"/>
      <c r="J50" s="160"/>
      <c r="K50" s="160"/>
      <c r="L50" s="161"/>
      <c r="N50" s="21"/>
      <c r="O50" s="21"/>
      <c r="P50" s="21"/>
    </row>
    <row r="51" spans="2:16" ht="18.75" customHeight="1" x14ac:dyDescent="0.2">
      <c r="B51" s="2"/>
      <c r="C51" s="2"/>
      <c r="D51" s="11"/>
      <c r="E51" s="11"/>
      <c r="F51" s="11"/>
      <c r="G51" s="61"/>
      <c r="H51" s="61"/>
      <c r="I51" s="61"/>
    </row>
    <row r="52" spans="2:16" s="62" customFormat="1" ht="16.149999999999999" customHeight="1" x14ac:dyDescent="0.2">
      <c r="B52" s="138" t="s">
        <v>123</v>
      </c>
      <c r="C52" s="138"/>
      <c r="D52" s="138"/>
      <c r="E52" s="138"/>
      <c r="F52" s="138"/>
      <c r="G52" s="138"/>
      <c r="H52" s="138"/>
      <c r="I52" s="138"/>
      <c r="J52" s="138"/>
      <c r="K52" s="138"/>
      <c r="L52" s="138"/>
    </row>
    <row r="54" spans="2:16" x14ac:dyDescent="0.2">
      <c r="B54" s="140">
        <v>7</v>
      </c>
      <c r="C54" s="140"/>
      <c r="D54" s="140"/>
      <c r="E54" s="140"/>
      <c r="F54" s="140"/>
      <c r="G54" s="140"/>
      <c r="H54" s="140"/>
      <c r="I54" s="140"/>
      <c r="J54" s="140"/>
      <c r="K54" s="140"/>
      <c r="L54" s="140"/>
    </row>
  </sheetData>
  <sortState xmlns:xlrd2="http://schemas.microsoft.com/office/spreadsheetml/2017/richdata2" ref="C5:D49">
    <sortCondition ref="C5:C49"/>
  </sortState>
  <mergeCells count="11">
    <mergeCell ref="B52:L52"/>
    <mergeCell ref="B54:L54"/>
    <mergeCell ref="B2:K2"/>
    <mergeCell ref="G3:I3"/>
    <mergeCell ref="J3:L3"/>
    <mergeCell ref="B1:L1"/>
    <mergeCell ref="B50:C50"/>
    <mergeCell ref="G50:L50"/>
    <mergeCell ref="B3:B4"/>
    <mergeCell ref="C3:C4"/>
    <mergeCell ref="D3:F3"/>
  </mergeCells>
  <phoneticPr fontId="0" type="noConversion"/>
  <printOptions horizontalCentered="1"/>
  <pageMargins left="0.25" right="0.25" top="0.75" bottom="0.75" header="0.3" footer="0.3"/>
  <pageSetup paperSize="9" scale="67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Q305"/>
  <sheetViews>
    <sheetView tabSelected="1" view="pageBreakPreview" topLeftCell="A29" zoomScaleNormal="100" zoomScaleSheetLayoutView="100" workbookViewId="0">
      <selection activeCell="B52" sqref="B52:M52"/>
    </sheetView>
  </sheetViews>
  <sheetFormatPr defaultColWidth="9.28515625" defaultRowHeight="15.75" x14ac:dyDescent="0.2"/>
  <cols>
    <col min="1" max="1" width="8.28515625" style="43" customWidth="1"/>
    <col min="2" max="2" width="6.85546875" style="44" customWidth="1"/>
    <col min="3" max="3" width="45.7109375" style="43" customWidth="1"/>
    <col min="4" max="4" width="10" style="43" customWidth="1"/>
    <col min="5" max="6" width="10.28515625" style="43" customWidth="1"/>
    <col min="7" max="9" width="10.5703125" style="57" customWidth="1"/>
    <col min="10" max="10" width="10.5703125" style="43" customWidth="1"/>
    <col min="11" max="11" width="10.42578125" style="54" customWidth="1"/>
    <col min="12" max="12" width="0" style="42" hidden="1" customWidth="1"/>
    <col min="13" max="13" width="10.7109375" style="42" customWidth="1"/>
    <col min="14" max="14" width="9.28515625" style="43" customWidth="1"/>
    <col min="15" max="17" width="0" style="43" hidden="1" customWidth="1"/>
    <col min="18" max="16384" width="9.28515625" style="43"/>
  </cols>
  <sheetData>
    <row r="1" spans="2:17" ht="21" customHeight="1" x14ac:dyDescent="0.2">
      <c r="B1" s="164" t="s">
        <v>36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6"/>
    </row>
    <row r="2" spans="2:17" ht="18" customHeight="1" x14ac:dyDescent="0.2">
      <c r="B2" s="162" t="s">
        <v>24</v>
      </c>
      <c r="C2" s="163"/>
      <c r="D2" s="163"/>
      <c r="E2" s="163"/>
      <c r="F2" s="163"/>
      <c r="G2" s="163"/>
      <c r="H2" s="163"/>
      <c r="I2" s="163"/>
      <c r="J2" s="163"/>
      <c r="K2" s="163"/>
      <c r="L2" s="73"/>
      <c r="M2" s="111" t="s">
        <v>42</v>
      </c>
    </row>
    <row r="3" spans="2:17" s="44" customFormat="1" ht="41.45" customHeight="1" x14ac:dyDescent="0.2">
      <c r="B3" s="171" t="s">
        <v>33</v>
      </c>
      <c r="C3" s="169" t="s">
        <v>10</v>
      </c>
      <c r="D3" s="173" t="s">
        <v>21</v>
      </c>
      <c r="E3" s="173"/>
      <c r="F3" s="173"/>
      <c r="G3" s="167" t="s">
        <v>117</v>
      </c>
      <c r="H3" s="167"/>
      <c r="I3" s="167"/>
      <c r="J3" s="167" t="s">
        <v>118</v>
      </c>
      <c r="K3" s="167"/>
      <c r="L3" s="167"/>
      <c r="M3" s="168"/>
    </row>
    <row r="4" spans="2:17" s="44" customFormat="1" ht="18.600000000000001" customHeight="1" thickBot="1" x14ac:dyDescent="0.25">
      <c r="B4" s="172"/>
      <c r="C4" s="170"/>
      <c r="D4" s="100">
        <v>2023</v>
      </c>
      <c r="E4" s="100">
        <v>2024</v>
      </c>
      <c r="F4" s="100">
        <v>2025</v>
      </c>
      <c r="G4" s="100">
        <v>2023</v>
      </c>
      <c r="H4" s="100">
        <v>2024</v>
      </c>
      <c r="I4" s="100">
        <v>2025</v>
      </c>
      <c r="J4" s="100">
        <v>2023</v>
      </c>
      <c r="K4" s="100">
        <v>2024</v>
      </c>
      <c r="L4" s="119"/>
      <c r="M4" s="101">
        <v>2025</v>
      </c>
    </row>
    <row r="5" spans="2:17" ht="18.75" customHeight="1" x14ac:dyDescent="0.2">
      <c r="B5" s="16">
        <v>1</v>
      </c>
      <c r="C5" s="65" t="s">
        <v>48</v>
      </c>
      <c r="D5" s="10">
        <f>'assets '!J5/depo!J5*100</f>
        <v>0</v>
      </c>
      <c r="E5" s="10">
        <v>0</v>
      </c>
      <c r="F5" s="10">
        <v>0</v>
      </c>
      <c r="G5" s="10">
        <v>2.92</v>
      </c>
      <c r="H5" s="10">
        <v>3.0545</v>
      </c>
      <c r="I5" s="10">
        <v>3.0457999999999998</v>
      </c>
      <c r="J5" s="78">
        <v>31</v>
      </c>
      <c r="K5" s="79">
        <v>63.43</v>
      </c>
      <c r="L5" s="80" t="s">
        <v>107</v>
      </c>
      <c r="M5" s="81">
        <v>73.680000000000007</v>
      </c>
      <c r="O5" s="45">
        <f>'assets '!J5/depo!J5*100-D5</f>
        <v>0</v>
      </c>
      <c r="P5" s="45">
        <f>'assets '!K5/depo!K5*100-E5</f>
        <v>0</v>
      </c>
      <c r="Q5" s="45">
        <f>'assets '!L5/depo!L5*100-F5</f>
        <v>0</v>
      </c>
    </row>
    <row r="6" spans="2:17" ht="18.75" customHeight="1" x14ac:dyDescent="0.2">
      <c r="B6" s="15">
        <v>2</v>
      </c>
      <c r="C6" s="64" t="s">
        <v>34</v>
      </c>
      <c r="D6" s="4">
        <f>'assets '!J6/depo!J6*100</f>
        <v>1.0426163121603311</v>
      </c>
      <c r="E6" s="4">
        <v>0.81</v>
      </c>
      <c r="F6" s="4">
        <v>0.61</v>
      </c>
      <c r="G6" s="4">
        <v>4.83</v>
      </c>
      <c r="H6" s="4">
        <v>5.86</v>
      </c>
      <c r="I6" s="4">
        <v>7.09</v>
      </c>
      <c r="J6" s="4">
        <v>4.8099999999999996</v>
      </c>
      <c r="K6" s="47">
        <v>4.76</v>
      </c>
      <c r="L6" s="73" t="s">
        <v>107</v>
      </c>
      <c r="M6" s="48">
        <v>0.93</v>
      </c>
      <c r="O6" s="45">
        <f>'assets '!J6/depo!J6*100-D6</f>
        <v>0</v>
      </c>
      <c r="P6" s="45">
        <f>'assets '!K6/depo!K6*100-E6</f>
        <v>-1.94239627967141E-3</v>
      </c>
      <c r="Q6" s="45">
        <f>'assets '!L6/depo!L6*100-F6</f>
        <v>3.5419317124241179E-4</v>
      </c>
    </row>
    <row r="7" spans="2:17" ht="18.75" customHeight="1" x14ac:dyDescent="0.2">
      <c r="B7" s="15">
        <v>3</v>
      </c>
      <c r="C7" s="64" t="s">
        <v>80</v>
      </c>
      <c r="D7" s="4">
        <f>'assets '!J7/depo!J7*100</f>
        <v>0</v>
      </c>
      <c r="E7" s="4">
        <v>0</v>
      </c>
      <c r="F7" s="4">
        <v>0</v>
      </c>
      <c r="G7" s="4">
        <v>122.84</v>
      </c>
      <c r="H7" s="4">
        <v>145.768</v>
      </c>
      <c r="I7" s="4">
        <v>150.5147</v>
      </c>
      <c r="J7" s="46">
        <v>171.55</v>
      </c>
      <c r="K7" s="46">
        <v>183.4</v>
      </c>
      <c r="L7" s="73" t="s">
        <v>107</v>
      </c>
      <c r="M7" s="48">
        <v>340.73</v>
      </c>
      <c r="O7" s="45">
        <f>'assets '!J7/depo!J7*100-D7</f>
        <v>0</v>
      </c>
      <c r="P7" s="45">
        <f>'assets '!K7/depo!K7*100-E7</f>
        <v>0</v>
      </c>
      <c r="Q7" s="45">
        <f>'assets '!L7/depo!L7*100-F7</f>
        <v>0</v>
      </c>
    </row>
    <row r="8" spans="2:17" ht="18.75" customHeight="1" x14ac:dyDescent="0.2">
      <c r="B8" s="15">
        <v>4</v>
      </c>
      <c r="C8" s="64" t="s">
        <v>0</v>
      </c>
      <c r="D8" s="4">
        <f>'assets '!J8/depo!J8*100</f>
        <v>0</v>
      </c>
      <c r="E8" s="4">
        <v>0</v>
      </c>
      <c r="F8" s="4">
        <v>0</v>
      </c>
      <c r="G8" s="4">
        <v>148.1</v>
      </c>
      <c r="H8" s="4">
        <v>175.739</v>
      </c>
      <c r="I8" s="4">
        <v>201.23560000000001</v>
      </c>
      <c r="J8" s="46">
        <v>237.14</v>
      </c>
      <c r="K8" s="74">
        <v>383.96</v>
      </c>
      <c r="L8" s="73" t="s">
        <v>107</v>
      </c>
      <c r="M8" s="48">
        <v>517.16999999999996</v>
      </c>
      <c r="O8" s="45">
        <f>'assets '!J8/depo!J8*100-D8</f>
        <v>0</v>
      </c>
      <c r="P8" s="45">
        <f>'assets '!K8/depo!K8*100-E8</f>
        <v>0</v>
      </c>
      <c r="Q8" s="45">
        <f>'assets '!L8/depo!L8*100-F8</f>
        <v>0</v>
      </c>
    </row>
    <row r="9" spans="2:17" s="51" customFormat="1" ht="18.75" customHeight="1" x14ac:dyDescent="0.2">
      <c r="B9" s="15">
        <v>5</v>
      </c>
      <c r="C9" s="64" t="s">
        <v>1</v>
      </c>
      <c r="D9" s="4">
        <v>0.71</v>
      </c>
      <c r="E9" s="4">
        <v>0.13</v>
      </c>
      <c r="F9" s="4">
        <v>0</v>
      </c>
      <c r="G9" s="4">
        <v>38.51</v>
      </c>
      <c r="H9" s="4">
        <v>36.04</v>
      </c>
      <c r="I9" s="4">
        <v>37.64</v>
      </c>
      <c r="J9" s="46">
        <v>16.66</v>
      </c>
      <c r="K9" s="75">
        <v>6</v>
      </c>
      <c r="L9" s="73" t="s">
        <v>107</v>
      </c>
      <c r="M9" s="85">
        <v>0</v>
      </c>
      <c r="O9" s="58">
        <f>'assets '!J9/depo!J9*100-D9</f>
        <v>6.4498802679222256E-2</v>
      </c>
      <c r="P9" s="58">
        <f>'assets '!K9/depo!K9*100-E9</f>
        <v>7.148808361825193E-2</v>
      </c>
      <c r="Q9" s="58">
        <f>'assets '!L9/depo!L9*100-F9</f>
        <v>6.3601273721508398E-3</v>
      </c>
    </row>
    <row r="10" spans="2:17" ht="18.75" customHeight="1" x14ac:dyDescent="0.2">
      <c r="B10" s="15">
        <v>6</v>
      </c>
      <c r="C10" s="64" t="s">
        <v>2</v>
      </c>
      <c r="D10" s="4">
        <v>4.0999999999999996</v>
      </c>
      <c r="E10" s="4">
        <v>3.36</v>
      </c>
      <c r="F10" s="4">
        <v>1.96</v>
      </c>
      <c r="G10" s="4">
        <v>25.83</v>
      </c>
      <c r="H10" s="4">
        <v>23.4</v>
      </c>
      <c r="I10" s="4">
        <v>22.67</v>
      </c>
      <c r="J10" s="46">
        <v>43</v>
      </c>
      <c r="K10" s="46">
        <v>32</v>
      </c>
      <c r="L10" s="73"/>
      <c r="M10" s="85">
        <v>33</v>
      </c>
      <c r="O10" s="45">
        <f>'assets '!J10/depo!J10*100-D10</f>
        <v>-5.1560001015458212E-3</v>
      </c>
      <c r="P10" s="45">
        <f>'assets '!K10/depo!K10*100-E10</f>
        <v>4.1398621897497101E-3</v>
      </c>
      <c r="Q10" s="45">
        <f>'assets '!L10/depo!L10*100-F10</f>
        <v>1.1423315953551505E-3</v>
      </c>
    </row>
    <row r="11" spans="2:17" s="3" customFormat="1" ht="18.75" customHeight="1" x14ac:dyDescent="0.2">
      <c r="B11" s="15">
        <v>7</v>
      </c>
      <c r="C11" s="64" t="s">
        <v>77</v>
      </c>
      <c r="D11" s="4">
        <f>'assets '!J11/depo!J11*100</f>
        <v>0</v>
      </c>
      <c r="E11" s="4">
        <v>0</v>
      </c>
      <c r="F11" s="4">
        <v>0</v>
      </c>
      <c r="G11" s="4">
        <v>5.85</v>
      </c>
      <c r="H11" s="4">
        <v>3.774</v>
      </c>
      <c r="I11" s="4">
        <v>5.5487000000000002</v>
      </c>
      <c r="J11" s="4">
        <v>23.58</v>
      </c>
      <c r="K11" s="70">
        <v>5.78</v>
      </c>
      <c r="L11" s="33" t="s">
        <v>107</v>
      </c>
      <c r="M11" s="6">
        <v>8.44</v>
      </c>
      <c r="O11" s="45">
        <f>'assets '!J11/depo!J11*100-D11</f>
        <v>0</v>
      </c>
      <c r="P11" s="45">
        <f>'assets '!K11/depo!K11*100-E11</f>
        <v>0</v>
      </c>
      <c r="Q11" s="45">
        <f>'assets '!L11/depo!L11*100-F11</f>
        <v>0</v>
      </c>
    </row>
    <row r="12" spans="2:17" ht="18.75" customHeight="1" x14ac:dyDescent="0.2">
      <c r="B12" s="15">
        <v>8</v>
      </c>
      <c r="C12" s="64" t="s">
        <v>92</v>
      </c>
      <c r="D12" s="4">
        <f>'assets '!J12/depo!J12*100</f>
        <v>0</v>
      </c>
      <c r="E12" s="4">
        <v>0</v>
      </c>
      <c r="F12" s="4">
        <v>0</v>
      </c>
      <c r="G12" s="4">
        <v>2.91</v>
      </c>
      <c r="H12" s="4">
        <v>0.62</v>
      </c>
      <c r="I12" s="4">
        <v>0.54</v>
      </c>
      <c r="J12" s="47">
        <v>-30.04</v>
      </c>
      <c r="K12" s="73">
        <v>115.12</v>
      </c>
      <c r="L12" s="73" t="s">
        <v>107</v>
      </c>
      <c r="M12" s="48">
        <v>102.04</v>
      </c>
      <c r="O12" s="45">
        <f>'assets '!J12/depo!J12*100-D12</f>
        <v>0</v>
      </c>
      <c r="P12" s="45">
        <f>'assets '!K12/depo!K12*100-E12</f>
        <v>0</v>
      </c>
      <c r="Q12" s="45">
        <f>'assets '!L12/depo!L12*100-F12</f>
        <v>0</v>
      </c>
    </row>
    <row r="13" spans="2:17" ht="18.75" customHeight="1" x14ac:dyDescent="0.2">
      <c r="B13" s="15">
        <v>9</v>
      </c>
      <c r="C13" s="64" t="s">
        <v>3</v>
      </c>
      <c r="D13" s="4">
        <f>'assets '!J13/depo!J13*100</f>
        <v>0</v>
      </c>
      <c r="E13" s="4">
        <v>0</v>
      </c>
      <c r="F13" s="4">
        <v>0</v>
      </c>
      <c r="G13" s="4">
        <v>75.87</v>
      </c>
      <c r="H13" s="4">
        <v>84.736999999999995</v>
      </c>
      <c r="I13" s="4">
        <v>103.55629999999999</v>
      </c>
      <c r="J13" s="4">
        <v>214.8</v>
      </c>
      <c r="K13" s="4">
        <v>253.7</v>
      </c>
      <c r="L13" s="73" t="s">
        <v>107</v>
      </c>
      <c r="M13" s="48">
        <v>354.31</v>
      </c>
      <c r="O13" s="45">
        <f>'assets '!J13/depo!J13*100-D13</f>
        <v>0</v>
      </c>
      <c r="P13" s="45">
        <f>'assets '!K13/depo!K13*100-E13</f>
        <v>0</v>
      </c>
      <c r="Q13" s="45">
        <f>'assets '!L13/depo!L13*100-F13</f>
        <v>0</v>
      </c>
    </row>
    <row r="14" spans="2:17" ht="18.75" customHeight="1" x14ac:dyDescent="0.2">
      <c r="B14" s="15">
        <v>10</v>
      </c>
      <c r="C14" s="64" t="s">
        <v>4</v>
      </c>
      <c r="D14" s="4">
        <f>'assets '!J14/depo!J14*100</f>
        <v>0</v>
      </c>
      <c r="E14" s="4">
        <v>0</v>
      </c>
      <c r="F14" s="4">
        <v>0</v>
      </c>
      <c r="G14" s="4">
        <v>83.12</v>
      </c>
      <c r="H14" s="4">
        <v>91.86</v>
      </c>
      <c r="I14" s="4">
        <v>118.75</v>
      </c>
      <c r="J14" s="46">
        <v>133.72999999999999</v>
      </c>
      <c r="K14" s="46">
        <v>169</v>
      </c>
      <c r="L14" s="73" t="s">
        <v>107</v>
      </c>
      <c r="M14" s="85">
        <v>194</v>
      </c>
      <c r="O14" s="45">
        <f>'assets '!J14/depo!J14*100-D14</f>
        <v>0</v>
      </c>
      <c r="P14" s="45">
        <f>'assets '!K14/depo!K14*100-E14</f>
        <v>0</v>
      </c>
      <c r="Q14" s="45">
        <f>'assets '!L14/depo!L14*100-F14</f>
        <v>0</v>
      </c>
    </row>
    <row r="15" spans="2:17" ht="18.75" customHeight="1" x14ac:dyDescent="0.2">
      <c r="B15" s="15">
        <v>11</v>
      </c>
      <c r="C15" s="64" t="s">
        <v>47</v>
      </c>
      <c r="D15" s="4">
        <v>0</v>
      </c>
      <c r="E15" s="4">
        <v>0</v>
      </c>
      <c r="F15" s="4">
        <v>0</v>
      </c>
      <c r="G15" s="4">
        <v>45.71</v>
      </c>
      <c r="H15" s="4">
        <v>121.49</v>
      </c>
      <c r="I15" s="4">
        <v>150.80500000000001</v>
      </c>
      <c r="J15" s="46">
        <v>96</v>
      </c>
      <c r="K15" s="75">
        <v>341</v>
      </c>
      <c r="L15" s="73"/>
      <c r="M15" s="48">
        <v>361.76</v>
      </c>
      <c r="O15" s="45">
        <f>'assets '!J15/depo!J15*100-D15</f>
        <v>0</v>
      </c>
      <c r="P15" s="45">
        <f>'assets '!K15/depo!K15*100-E15</f>
        <v>0</v>
      </c>
      <c r="Q15" s="45">
        <f>'assets '!L15/depo!L15*100-F15</f>
        <v>0</v>
      </c>
    </row>
    <row r="16" spans="2:17" ht="18.75" customHeight="1" x14ac:dyDescent="0.2">
      <c r="B16" s="15">
        <v>12</v>
      </c>
      <c r="C16" s="64" t="s">
        <v>93</v>
      </c>
      <c r="D16" s="4">
        <f>'assets '!J16/depo!J16*100</f>
        <v>16.78838578320719</v>
      </c>
      <c r="E16" s="4">
        <v>0</v>
      </c>
      <c r="F16" s="4">
        <v>0</v>
      </c>
      <c r="G16" s="4">
        <v>14.44</v>
      </c>
      <c r="H16" s="4">
        <v>0</v>
      </c>
      <c r="I16" s="4">
        <v>0</v>
      </c>
      <c r="J16" s="4">
        <v>158.21</v>
      </c>
      <c r="K16" s="4">
        <v>448.19</v>
      </c>
      <c r="L16" s="73" t="s">
        <v>107</v>
      </c>
      <c r="M16" s="85">
        <v>160.4</v>
      </c>
      <c r="O16" s="45">
        <f>'assets '!J16/depo!J16*100-D16</f>
        <v>0</v>
      </c>
      <c r="P16" s="45" t="e">
        <f>'assets '!K16/depo!K16*100-E16</f>
        <v>#DIV/0!</v>
      </c>
      <c r="Q16" s="45" t="e">
        <f>'assets '!L16/depo!L16*100-F16</f>
        <v>#DIV/0!</v>
      </c>
    </row>
    <row r="17" spans="2:17" ht="18.75" customHeight="1" x14ac:dyDescent="0.2">
      <c r="B17" s="15">
        <v>13</v>
      </c>
      <c r="C17" s="64" t="s">
        <v>41</v>
      </c>
      <c r="D17" s="4">
        <f>'assets '!J17/depo!J17*100</f>
        <v>0</v>
      </c>
      <c r="E17" s="4">
        <v>0</v>
      </c>
      <c r="F17" s="4">
        <v>0</v>
      </c>
      <c r="G17" s="4">
        <v>133.51</v>
      </c>
      <c r="H17" s="4">
        <v>130.91</v>
      </c>
      <c r="I17" s="4">
        <v>132.13</v>
      </c>
      <c r="J17" s="46">
        <v>79.94</v>
      </c>
      <c r="K17" s="75">
        <v>124</v>
      </c>
      <c r="L17" s="73" t="s">
        <v>107</v>
      </c>
      <c r="M17" s="85">
        <v>193</v>
      </c>
      <c r="O17" s="45">
        <f>'assets '!J17/depo!J17*100-D17</f>
        <v>0</v>
      </c>
      <c r="P17" s="45">
        <f>'assets '!K17/depo!K17*100-E17</f>
        <v>0</v>
      </c>
      <c r="Q17" s="45">
        <f>'assets '!L17/depo!L17*100-F17</f>
        <v>0</v>
      </c>
    </row>
    <row r="18" spans="2:17" ht="18.75" customHeight="1" x14ac:dyDescent="0.2">
      <c r="B18" s="15">
        <v>14</v>
      </c>
      <c r="C18" s="64" t="s">
        <v>104</v>
      </c>
      <c r="D18" s="4">
        <f>'assets '!J18/depo!J18*100</f>
        <v>0</v>
      </c>
      <c r="E18" s="4">
        <v>0</v>
      </c>
      <c r="F18" s="4">
        <v>0</v>
      </c>
      <c r="G18" s="4">
        <v>31.37</v>
      </c>
      <c r="H18" s="4">
        <v>71.19</v>
      </c>
      <c r="I18" s="4">
        <v>75.83</v>
      </c>
      <c r="J18" s="4">
        <v>348</v>
      </c>
      <c r="K18" s="75">
        <v>304</v>
      </c>
      <c r="L18" s="73" t="s">
        <v>107</v>
      </c>
      <c r="M18" s="85">
        <v>392</v>
      </c>
      <c r="O18" s="45">
        <f>'assets '!J18/depo!J18*100-D18</f>
        <v>0</v>
      </c>
      <c r="P18" s="45">
        <f>'assets '!K18/depo!K18*100-E18</f>
        <v>0</v>
      </c>
      <c r="Q18" s="45">
        <f>'assets '!L18/depo!L18*100-F18</f>
        <v>0</v>
      </c>
    </row>
    <row r="19" spans="2:17" ht="18.75" customHeight="1" x14ac:dyDescent="0.2">
      <c r="B19" s="15">
        <v>15</v>
      </c>
      <c r="C19" s="64" t="s">
        <v>98</v>
      </c>
      <c r="D19" s="4">
        <f>'assets '!J19/depo!J19*100</f>
        <v>0</v>
      </c>
      <c r="E19" s="4">
        <v>0</v>
      </c>
      <c r="F19" s="4">
        <v>0</v>
      </c>
      <c r="G19" s="4">
        <v>43.74</v>
      </c>
      <c r="H19" s="4">
        <v>43.85</v>
      </c>
      <c r="I19" s="4">
        <v>57.07</v>
      </c>
      <c r="J19" s="46">
        <v>11.22</v>
      </c>
      <c r="K19" s="46">
        <v>33</v>
      </c>
      <c r="L19" s="73" t="s">
        <v>107</v>
      </c>
      <c r="M19" s="85">
        <v>33</v>
      </c>
      <c r="O19" s="45">
        <f>'assets '!J19/depo!J19*100-D19</f>
        <v>0</v>
      </c>
      <c r="P19" s="45">
        <f>'assets '!K19/depo!K19*100-E19</f>
        <v>0</v>
      </c>
      <c r="Q19" s="45">
        <f>'assets '!L19/depo!L19*100-F19</f>
        <v>0</v>
      </c>
    </row>
    <row r="20" spans="2:17" ht="18.75" customHeight="1" x14ac:dyDescent="0.2">
      <c r="B20" s="15">
        <v>16</v>
      </c>
      <c r="C20" s="64" t="s">
        <v>53</v>
      </c>
      <c r="D20" s="4">
        <f>'assets '!J20/depo!J20*100</f>
        <v>1.167144548059629</v>
      </c>
      <c r="E20" s="4">
        <v>0.24</v>
      </c>
      <c r="F20" s="4">
        <v>0.27</v>
      </c>
      <c r="G20" s="4">
        <v>16.61</v>
      </c>
      <c r="H20" s="4">
        <v>19.13</v>
      </c>
      <c r="I20" s="4">
        <v>18.853000000000002</v>
      </c>
      <c r="J20" s="46">
        <v>347</v>
      </c>
      <c r="K20" s="46">
        <v>543</v>
      </c>
      <c r="L20" s="73" t="s">
        <v>107</v>
      </c>
      <c r="M20" s="48">
        <v>932.43</v>
      </c>
      <c r="N20" s="93"/>
      <c r="O20" s="45">
        <f>'assets '!J20/depo!J20*100-D20</f>
        <v>0</v>
      </c>
      <c r="P20" s="45">
        <f>'assets '!K20/depo!K20*100-E20</f>
        <v>-2.0159020034482555E-4</v>
      </c>
      <c r="Q20" s="45">
        <f>'assets '!L20/depo!L20*100-F20</f>
        <v>8.8109788775512787E-3</v>
      </c>
    </row>
    <row r="21" spans="2:17" ht="18.75" customHeight="1" x14ac:dyDescent="0.2">
      <c r="B21" s="15">
        <v>17</v>
      </c>
      <c r="C21" s="64" t="s">
        <v>5</v>
      </c>
      <c r="D21" s="4">
        <f>'assets '!J21/depo!J21*100</f>
        <v>0.90974766102851801</v>
      </c>
      <c r="E21" s="4">
        <v>0.32</v>
      </c>
      <c r="F21" s="4">
        <v>0.28000000000000003</v>
      </c>
      <c r="G21" s="4">
        <v>68.75</v>
      </c>
      <c r="H21" s="4">
        <v>77.144999999999996</v>
      </c>
      <c r="I21" s="4">
        <v>87.546999999999997</v>
      </c>
      <c r="J21" s="46">
        <v>80.38</v>
      </c>
      <c r="K21" s="46">
        <v>113.22</v>
      </c>
      <c r="L21" s="73" t="s">
        <v>107</v>
      </c>
      <c r="M21" s="48">
        <v>170.75</v>
      </c>
      <c r="O21" s="45">
        <f>'assets '!J21/depo!J21*100-D21</f>
        <v>0</v>
      </c>
      <c r="P21" s="45">
        <f>'assets '!K21/depo!K21*100-E21</f>
        <v>-3.7684679214733952E-3</v>
      </c>
      <c r="Q21" s="45">
        <f>'assets '!L21/depo!L21*100-F21</f>
        <v>-2.0882279195573172E-3</v>
      </c>
    </row>
    <row r="22" spans="2:17" ht="18.75" customHeight="1" x14ac:dyDescent="0.2">
      <c r="B22" s="15">
        <v>18</v>
      </c>
      <c r="C22" s="64" t="s">
        <v>60</v>
      </c>
      <c r="D22" s="4">
        <f>'assets '!J22/depo!J22*100</f>
        <v>0</v>
      </c>
      <c r="E22" s="4">
        <v>0.8</v>
      </c>
      <c r="F22" s="4">
        <v>0.51</v>
      </c>
      <c r="G22" s="4">
        <v>24</v>
      </c>
      <c r="H22" s="4">
        <v>26.54</v>
      </c>
      <c r="I22" s="4">
        <v>37.071199999999997</v>
      </c>
      <c r="J22" s="4">
        <v>0.61</v>
      </c>
      <c r="K22" s="76">
        <v>49.49</v>
      </c>
      <c r="L22" s="73" t="s">
        <v>107</v>
      </c>
      <c r="M22" s="85">
        <v>22.79</v>
      </c>
      <c r="O22" s="45">
        <f>'assets '!J22/depo!J22*100-D22</f>
        <v>0</v>
      </c>
      <c r="P22" s="45">
        <f>'assets '!K22/depo!K22*100-E22</f>
        <v>1.3149784261352604E-3</v>
      </c>
      <c r="Q22" s="45">
        <f>'assets '!L22/depo!L22*100-F22</f>
        <v>-3.4636133551816384E-3</v>
      </c>
    </row>
    <row r="23" spans="2:17" s="3" customFormat="1" ht="18.75" customHeight="1" x14ac:dyDescent="0.2">
      <c r="B23" s="15">
        <v>19</v>
      </c>
      <c r="C23" s="64" t="s">
        <v>99</v>
      </c>
      <c r="D23" s="4">
        <f>'assets '!J23/depo!J23*100</f>
        <v>0</v>
      </c>
      <c r="E23" s="4">
        <v>0</v>
      </c>
      <c r="F23" s="4">
        <v>0</v>
      </c>
      <c r="G23" s="4">
        <v>76.430000000000007</v>
      </c>
      <c r="H23" s="4">
        <v>87.63</v>
      </c>
      <c r="I23" s="4">
        <v>95.183999999999997</v>
      </c>
      <c r="J23" s="12">
        <v>47.39</v>
      </c>
      <c r="K23" s="70">
        <v>69.89</v>
      </c>
      <c r="L23" s="33" t="s">
        <v>107</v>
      </c>
      <c r="M23" s="6">
        <v>55.42</v>
      </c>
      <c r="O23" s="45">
        <f>'assets '!J23/depo!J23*100-D23</f>
        <v>0</v>
      </c>
      <c r="P23" s="45">
        <f>'assets '!K23/depo!K23*100-E23</f>
        <v>0</v>
      </c>
      <c r="Q23" s="45">
        <f>'assets '!L23/depo!L23*100-F23</f>
        <v>0</v>
      </c>
    </row>
    <row r="24" spans="2:17" ht="18.75" customHeight="1" x14ac:dyDescent="0.2">
      <c r="B24" s="15">
        <v>20</v>
      </c>
      <c r="C24" s="64" t="s">
        <v>66</v>
      </c>
      <c r="D24" s="4">
        <f>'assets '!J24/depo!J24*100</f>
        <v>0</v>
      </c>
      <c r="E24" s="4">
        <v>0</v>
      </c>
      <c r="F24" s="4">
        <v>0</v>
      </c>
      <c r="G24" s="4">
        <v>42.05</v>
      </c>
      <c r="H24" s="4">
        <v>31.67</v>
      </c>
      <c r="I24" s="4">
        <v>64.02</v>
      </c>
      <c r="J24" s="47">
        <v>-69.180000000000007</v>
      </c>
      <c r="K24" s="75">
        <v>212.6</v>
      </c>
      <c r="L24" s="73" t="s">
        <v>107</v>
      </c>
      <c r="M24" s="48">
        <v>87.82</v>
      </c>
      <c r="O24" s="45">
        <f>'assets '!J24/depo!J24*100-D24</f>
        <v>0</v>
      </c>
      <c r="P24" s="45">
        <f>'assets '!K24/depo!K24*100-E24</f>
        <v>0</v>
      </c>
      <c r="Q24" s="45">
        <f>'assets '!L24/depo!L24*100-F24</f>
        <v>0</v>
      </c>
    </row>
    <row r="25" spans="2:17" ht="18.75" customHeight="1" x14ac:dyDescent="0.2">
      <c r="B25" s="15">
        <v>21</v>
      </c>
      <c r="C25" s="64" t="s">
        <v>39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172.26</v>
      </c>
      <c r="K25" s="76">
        <v>0</v>
      </c>
      <c r="L25" s="49" t="s">
        <v>107</v>
      </c>
      <c r="M25" s="122">
        <v>0</v>
      </c>
      <c r="O25" s="45" t="e">
        <f>'assets '!J25/depo!J25*100-D25</f>
        <v>#DIV/0!</v>
      </c>
      <c r="P25" s="45" t="e">
        <f>'assets '!K25/depo!K25*100-E25</f>
        <v>#DIV/0!</v>
      </c>
      <c r="Q25" s="45" t="e">
        <f>'assets '!L25/depo!L25*100-F25</f>
        <v>#DIV/0!</v>
      </c>
    </row>
    <row r="26" spans="2:17" ht="18.75" customHeight="1" x14ac:dyDescent="0.2">
      <c r="B26" s="15">
        <v>22</v>
      </c>
      <c r="C26" s="64" t="s">
        <v>91</v>
      </c>
      <c r="D26" s="4">
        <f>'assets '!J26/depo!J26*100</f>
        <v>8.0135748026174458E-2</v>
      </c>
      <c r="E26" s="4">
        <v>0.05</v>
      </c>
      <c r="F26" s="4">
        <v>0.03</v>
      </c>
      <c r="G26" s="4">
        <v>82.78</v>
      </c>
      <c r="H26" s="4">
        <v>79.225999999999999</v>
      </c>
      <c r="I26" s="4">
        <v>83.723100000000002</v>
      </c>
      <c r="J26" s="46">
        <v>98.36</v>
      </c>
      <c r="K26" s="46">
        <v>139.08000000000001</v>
      </c>
      <c r="L26" s="73" t="s">
        <v>107</v>
      </c>
      <c r="M26" s="48">
        <v>144.47</v>
      </c>
      <c r="O26" s="45">
        <f>'assets '!J26/depo!J26*100-D26</f>
        <v>0</v>
      </c>
      <c r="P26" s="45">
        <f>'assets '!K26/depo!K26*100-E26</f>
        <v>-3.9445339280684139E-3</v>
      </c>
      <c r="Q26" s="45">
        <f>'assets '!L26/depo!L26*100-F26</f>
        <v>-2.0879317668801058E-3</v>
      </c>
    </row>
    <row r="27" spans="2:17" ht="18.75" customHeight="1" x14ac:dyDescent="0.2">
      <c r="B27" s="15">
        <v>23</v>
      </c>
      <c r="C27" s="64" t="s">
        <v>59</v>
      </c>
      <c r="D27" s="4">
        <f>'assets '!J27/depo!J27*100</f>
        <v>0</v>
      </c>
      <c r="E27" s="4">
        <v>0</v>
      </c>
      <c r="F27" s="4">
        <v>0</v>
      </c>
      <c r="G27" s="4">
        <v>38.17</v>
      </c>
      <c r="H27" s="4">
        <v>30.35</v>
      </c>
      <c r="I27" s="4">
        <v>29.36</v>
      </c>
      <c r="J27" s="46">
        <v>61.21</v>
      </c>
      <c r="K27" s="46">
        <v>63</v>
      </c>
      <c r="L27" s="73" t="s">
        <v>107</v>
      </c>
      <c r="M27" s="85">
        <v>68</v>
      </c>
      <c r="O27" s="45">
        <f>'assets '!J27/depo!J27*100-D27</f>
        <v>0</v>
      </c>
      <c r="P27" s="45">
        <f>'assets '!K27/depo!K27*100-E27</f>
        <v>0</v>
      </c>
      <c r="Q27" s="45">
        <f>'assets '!L27/depo!L27*100-F27</f>
        <v>0</v>
      </c>
    </row>
    <row r="28" spans="2:17" ht="18.75" customHeight="1" x14ac:dyDescent="0.2">
      <c r="B28" s="15">
        <v>24</v>
      </c>
      <c r="C28" s="64" t="s">
        <v>86</v>
      </c>
      <c r="D28" s="4">
        <f>'assets '!J28/depo!J28*100</f>
        <v>0</v>
      </c>
      <c r="E28" s="4">
        <v>0</v>
      </c>
      <c r="F28" s="4">
        <v>0</v>
      </c>
      <c r="G28" s="4">
        <v>61.46</v>
      </c>
      <c r="H28" s="4">
        <v>92.197999999999993</v>
      </c>
      <c r="I28" s="4">
        <v>97.924000000000007</v>
      </c>
      <c r="J28" s="46">
        <v>27.43</v>
      </c>
      <c r="K28" s="74">
        <v>100.88</v>
      </c>
      <c r="L28" s="73" t="s">
        <v>107</v>
      </c>
      <c r="M28" s="48">
        <v>124.57</v>
      </c>
      <c r="O28" s="45">
        <f>'assets '!J28/depo!J28*100-D28</f>
        <v>0</v>
      </c>
      <c r="P28" s="45">
        <f>'assets '!K28/depo!K28*100-E28</f>
        <v>0</v>
      </c>
      <c r="Q28" s="45">
        <f>'assets '!L28/depo!L28*100-F28</f>
        <v>0</v>
      </c>
    </row>
    <row r="29" spans="2:17" ht="18.75" customHeight="1" x14ac:dyDescent="0.2">
      <c r="B29" s="15">
        <v>25</v>
      </c>
      <c r="C29" s="64" t="s">
        <v>6</v>
      </c>
      <c r="D29" s="4">
        <f>'assets '!J29/depo!J29*100</f>
        <v>0</v>
      </c>
      <c r="E29" s="4">
        <v>0</v>
      </c>
      <c r="F29" s="4">
        <v>0</v>
      </c>
      <c r="G29" s="4">
        <v>164.32</v>
      </c>
      <c r="H29" s="4">
        <v>178.459</v>
      </c>
      <c r="I29" s="4">
        <v>196.95429999999999</v>
      </c>
      <c r="J29" s="46">
        <v>463.39</v>
      </c>
      <c r="K29" s="46">
        <v>581.34</v>
      </c>
      <c r="L29" s="73" t="s">
        <v>107</v>
      </c>
      <c r="M29" s="48">
        <v>762.75</v>
      </c>
      <c r="O29" s="45">
        <f>'assets '!J29/depo!J29*100-D29</f>
        <v>0</v>
      </c>
      <c r="P29" s="45">
        <f>'assets '!K29/depo!K29*100-E29</f>
        <v>0</v>
      </c>
      <c r="Q29" s="45">
        <f>'assets '!L29/depo!L29*100-F29</f>
        <v>0</v>
      </c>
    </row>
    <row r="30" spans="2:17" ht="18.75" customHeight="1" x14ac:dyDescent="0.2">
      <c r="B30" s="15">
        <v>26</v>
      </c>
      <c r="C30" s="64" t="s">
        <v>35</v>
      </c>
      <c r="D30" s="4">
        <v>0</v>
      </c>
      <c r="E30" s="4">
        <v>0</v>
      </c>
      <c r="F30" s="4">
        <v>0</v>
      </c>
      <c r="G30" s="4">
        <v>2.83</v>
      </c>
      <c r="H30" s="4">
        <v>32.68</v>
      </c>
      <c r="I30" s="4">
        <v>76.61</v>
      </c>
      <c r="J30" s="46">
        <v>44.24</v>
      </c>
      <c r="K30" s="46">
        <v>209</v>
      </c>
      <c r="L30" s="73" t="s">
        <v>107</v>
      </c>
      <c r="M30" s="85">
        <v>382</v>
      </c>
      <c r="O30" s="45" t="e">
        <f>'assets '!J30/depo!J30*100-D30</f>
        <v>#DIV/0!</v>
      </c>
      <c r="P30" s="45" t="e">
        <f>'assets '!K30/depo!K30*100-E30</f>
        <v>#DIV/0!</v>
      </c>
      <c r="Q30" s="45" t="e">
        <f>'assets '!L30/depo!L30*100-F30</f>
        <v>#DIV/0!</v>
      </c>
    </row>
    <row r="31" spans="2:17" ht="18.75" customHeight="1" x14ac:dyDescent="0.2">
      <c r="B31" s="15">
        <v>27</v>
      </c>
      <c r="C31" s="64" t="s">
        <v>62</v>
      </c>
      <c r="D31" s="4">
        <v>0</v>
      </c>
      <c r="E31" s="4">
        <v>0</v>
      </c>
      <c r="F31" s="4">
        <v>0</v>
      </c>
      <c r="G31" s="4">
        <v>113.48</v>
      </c>
      <c r="H31" s="4">
        <v>120.93</v>
      </c>
      <c r="I31" s="4">
        <v>153.97</v>
      </c>
      <c r="J31" s="46">
        <v>61</v>
      </c>
      <c r="K31" s="75">
        <v>125</v>
      </c>
      <c r="L31" s="73" t="s">
        <v>107</v>
      </c>
      <c r="M31" s="48">
        <v>223</v>
      </c>
      <c r="O31" s="45">
        <f>'assets '!J31/depo!J31*100-D31</f>
        <v>0</v>
      </c>
      <c r="P31" s="45">
        <f>'assets '!K31/depo!K31*100-E31</f>
        <v>0</v>
      </c>
      <c r="Q31" s="45">
        <f>'assets '!L31/depo!L31*100-F31</f>
        <v>0</v>
      </c>
    </row>
    <row r="32" spans="2:17" s="3" customFormat="1" ht="18.75" customHeight="1" x14ac:dyDescent="0.2">
      <c r="B32" s="15">
        <v>28</v>
      </c>
      <c r="C32" s="64" t="s">
        <v>78</v>
      </c>
      <c r="D32" s="4">
        <f>'assets '!J32/depo!J32*100</f>
        <v>0</v>
      </c>
      <c r="E32" s="4">
        <v>0</v>
      </c>
      <c r="F32" s="4">
        <v>0</v>
      </c>
      <c r="G32" s="4">
        <v>125.6</v>
      </c>
      <c r="H32" s="4">
        <v>71.19</v>
      </c>
      <c r="I32" s="4">
        <v>56.48</v>
      </c>
      <c r="J32" s="4">
        <v>4</v>
      </c>
      <c r="K32" s="4">
        <v>12</v>
      </c>
      <c r="L32" s="33"/>
      <c r="M32" s="120">
        <v>-1</v>
      </c>
      <c r="O32" s="45">
        <f>'assets '!J32/depo!J32*100-D32</f>
        <v>0</v>
      </c>
      <c r="P32" s="45">
        <f>'assets '!K32/depo!K32*100-E32</f>
        <v>0</v>
      </c>
      <c r="Q32" s="45">
        <f>'assets '!L32/depo!L32*100-F32</f>
        <v>0</v>
      </c>
    </row>
    <row r="33" spans="2:17" ht="18.75" customHeight="1" x14ac:dyDescent="0.2">
      <c r="B33" s="15">
        <v>29</v>
      </c>
      <c r="C33" s="64" t="s">
        <v>49</v>
      </c>
      <c r="D33" s="4">
        <v>0</v>
      </c>
      <c r="E33" s="4" t="s">
        <v>105</v>
      </c>
      <c r="F33" s="4" t="s">
        <v>105</v>
      </c>
      <c r="G33" s="4">
        <v>0</v>
      </c>
      <c r="H33" s="4" t="s">
        <v>105</v>
      </c>
      <c r="I33" s="4" t="s">
        <v>105</v>
      </c>
      <c r="J33" s="47">
        <v>-44.6</v>
      </c>
      <c r="K33" s="73" t="s">
        <v>105</v>
      </c>
      <c r="L33" s="73"/>
      <c r="M33" s="48" t="s">
        <v>105</v>
      </c>
      <c r="O33" s="45" t="e">
        <f>'assets '!J33/depo!J33*100-D33</f>
        <v>#DIV/0!</v>
      </c>
      <c r="P33" s="45" t="e">
        <f>'assets '!K33/depo!K33*100-E33</f>
        <v>#VALUE!</v>
      </c>
      <c r="Q33" s="45" t="e">
        <f>'assets '!L33/depo!L33*100-F33</f>
        <v>#VALUE!</v>
      </c>
    </row>
    <row r="34" spans="2:17" ht="18.75" customHeight="1" x14ac:dyDescent="0.2">
      <c r="B34" s="15">
        <v>30</v>
      </c>
      <c r="C34" s="64" t="s">
        <v>7</v>
      </c>
      <c r="D34" s="4">
        <f>'assets '!J34/depo!J34*100</f>
        <v>0</v>
      </c>
      <c r="E34" s="4">
        <v>0</v>
      </c>
      <c r="F34" s="4">
        <v>0</v>
      </c>
      <c r="G34" s="4">
        <v>31.58</v>
      </c>
      <c r="H34" s="4">
        <v>30.85</v>
      </c>
      <c r="I34" s="4">
        <v>56.133000000000003</v>
      </c>
      <c r="J34" s="46">
        <v>103.49</v>
      </c>
      <c r="K34" s="74">
        <v>112.45</v>
      </c>
      <c r="L34" s="73" t="s">
        <v>107</v>
      </c>
      <c r="M34" s="48">
        <v>83.38</v>
      </c>
      <c r="O34" s="45">
        <f>'assets '!J34/depo!J34*100-D34</f>
        <v>0</v>
      </c>
      <c r="P34" s="45">
        <f>'assets '!K34/depo!K34*100-E34</f>
        <v>0</v>
      </c>
      <c r="Q34" s="45">
        <f>'assets '!L34/depo!L34*100-F34</f>
        <v>0</v>
      </c>
    </row>
    <row r="35" spans="2:17" ht="18.75" customHeight="1" x14ac:dyDescent="0.2">
      <c r="B35" s="15">
        <v>31</v>
      </c>
      <c r="C35" s="64" t="s">
        <v>54</v>
      </c>
      <c r="D35" s="4">
        <f>'assets '!J35/depo!J35*100</f>
        <v>0</v>
      </c>
      <c r="E35" s="4">
        <v>0</v>
      </c>
      <c r="F35" s="4">
        <v>0</v>
      </c>
      <c r="G35" s="4">
        <v>102.27</v>
      </c>
      <c r="H35" s="4">
        <v>122.27</v>
      </c>
      <c r="I35" s="4">
        <v>159.36000000000001</v>
      </c>
      <c r="J35" s="46">
        <v>91</v>
      </c>
      <c r="K35" s="46">
        <v>134</v>
      </c>
      <c r="L35" s="73" t="s">
        <v>107</v>
      </c>
      <c r="M35" s="48">
        <v>234</v>
      </c>
      <c r="O35" s="45">
        <f>'assets '!J35/depo!J35*100-D35</f>
        <v>0</v>
      </c>
      <c r="P35" s="45">
        <f>'assets '!K35/depo!K35*100-E35</f>
        <v>0</v>
      </c>
      <c r="Q35" s="45">
        <f>'assets '!L35/depo!L35*100-F35</f>
        <v>0</v>
      </c>
    </row>
    <row r="36" spans="2:17" ht="18.75" customHeight="1" x14ac:dyDescent="0.2">
      <c r="B36" s="15">
        <v>32</v>
      </c>
      <c r="C36" s="64" t="s">
        <v>88</v>
      </c>
      <c r="D36" s="4">
        <f>'assets '!J36/depo!J36*100</f>
        <v>0</v>
      </c>
      <c r="E36" s="4">
        <v>0</v>
      </c>
      <c r="F36" s="4">
        <v>0</v>
      </c>
      <c r="G36" s="4">
        <v>85.337000000000003</v>
      </c>
      <c r="H36" s="4">
        <v>130.19</v>
      </c>
      <c r="I36" s="4">
        <v>134.94999999999999</v>
      </c>
      <c r="J36" s="46">
        <v>119.91</v>
      </c>
      <c r="K36" s="46">
        <v>130</v>
      </c>
      <c r="L36" s="73" t="s">
        <v>107</v>
      </c>
      <c r="M36" s="85">
        <v>222</v>
      </c>
      <c r="O36" s="45">
        <f>'assets '!J36/depo!J36*100-D36</f>
        <v>0</v>
      </c>
      <c r="P36" s="45">
        <f>'assets '!K36/depo!K36*100-E36</f>
        <v>0</v>
      </c>
      <c r="Q36" s="45">
        <f>'assets '!L36/depo!L36*100-F36</f>
        <v>0</v>
      </c>
    </row>
    <row r="37" spans="2:17" ht="18.75" customHeight="1" x14ac:dyDescent="0.2">
      <c r="B37" s="15">
        <v>33</v>
      </c>
      <c r="C37" s="64" t="s">
        <v>83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7">
        <v>-390.71</v>
      </c>
      <c r="K37" s="47">
        <v>-433.41</v>
      </c>
      <c r="L37" s="73" t="s">
        <v>107</v>
      </c>
      <c r="M37" s="85">
        <v>324.3</v>
      </c>
      <c r="O37" s="45" t="e">
        <f>'assets '!J37/depo!J37*100-D37</f>
        <v>#DIV/0!</v>
      </c>
      <c r="P37" s="45" t="e">
        <f>'assets '!K37/depo!K37*100-E37</f>
        <v>#DIV/0!</v>
      </c>
      <c r="Q37" s="45" t="e">
        <f>'assets '!L37/depo!L37*100-F37</f>
        <v>#DIV/0!</v>
      </c>
    </row>
    <row r="38" spans="2:17" ht="18.75" customHeight="1" x14ac:dyDescent="0.2">
      <c r="B38" s="15">
        <v>34</v>
      </c>
      <c r="C38" s="64" t="s">
        <v>114</v>
      </c>
      <c r="D38" s="4" t="s">
        <v>105</v>
      </c>
      <c r="E38" s="4">
        <v>0</v>
      </c>
      <c r="F38" s="4">
        <v>0</v>
      </c>
      <c r="G38" s="4" t="s">
        <v>105</v>
      </c>
      <c r="H38" s="4">
        <v>7.73</v>
      </c>
      <c r="I38" s="4">
        <v>9.4700000000000006</v>
      </c>
      <c r="J38" s="47" t="s">
        <v>105</v>
      </c>
      <c r="K38" s="47">
        <v>-2</v>
      </c>
      <c r="L38" s="73"/>
      <c r="M38" s="120">
        <v>-4</v>
      </c>
      <c r="O38" s="45" t="e">
        <f>'assets '!J38/depo!J38*100-D38</f>
        <v>#VALUE!</v>
      </c>
      <c r="P38" s="45">
        <f>'assets '!K38/depo!K38*100-E38</f>
        <v>0</v>
      </c>
      <c r="Q38" s="45">
        <f>'assets '!L38/depo!L38*100-F38</f>
        <v>0</v>
      </c>
    </row>
    <row r="39" spans="2:17" ht="18.75" customHeight="1" x14ac:dyDescent="0.2">
      <c r="B39" s="15">
        <v>35</v>
      </c>
      <c r="C39" s="64" t="s">
        <v>61</v>
      </c>
      <c r="D39" s="4">
        <f>'assets '!J39/depo!J39*100</f>
        <v>0</v>
      </c>
      <c r="E39" s="4">
        <v>0</v>
      </c>
      <c r="F39" s="4">
        <v>0</v>
      </c>
      <c r="G39" s="4">
        <v>7.72</v>
      </c>
      <c r="H39" s="4">
        <v>9.2390000000000008</v>
      </c>
      <c r="I39" s="4">
        <v>14.42</v>
      </c>
      <c r="J39" s="4">
        <v>6.26</v>
      </c>
      <c r="K39" s="76">
        <v>31.24</v>
      </c>
      <c r="L39" s="49" t="s">
        <v>107</v>
      </c>
      <c r="M39" s="122">
        <v>57</v>
      </c>
      <c r="O39" s="45">
        <f>'assets '!J39/depo!J39*100-D39</f>
        <v>0</v>
      </c>
      <c r="P39" s="45">
        <f>'assets '!K39/depo!K39*100-E39</f>
        <v>0</v>
      </c>
      <c r="Q39" s="45">
        <f>'assets '!L39/depo!L39*100-F39</f>
        <v>0</v>
      </c>
    </row>
    <row r="40" spans="2:17" s="2" customFormat="1" ht="18.75" customHeight="1" x14ac:dyDescent="0.2">
      <c r="B40" s="15">
        <v>36</v>
      </c>
      <c r="C40" s="64" t="s">
        <v>108</v>
      </c>
      <c r="D40" s="4">
        <v>0</v>
      </c>
      <c r="E40" s="4">
        <v>0</v>
      </c>
      <c r="F40" s="4">
        <v>0</v>
      </c>
      <c r="G40" s="4">
        <v>58.5</v>
      </c>
      <c r="H40" s="4">
        <v>9</v>
      </c>
      <c r="I40" s="4">
        <v>11</v>
      </c>
      <c r="J40" s="4">
        <v>0.36</v>
      </c>
      <c r="K40" s="4">
        <v>0</v>
      </c>
      <c r="L40" s="4" t="s">
        <v>107</v>
      </c>
      <c r="M40" s="112">
        <v>0</v>
      </c>
      <c r="O40" s="58">
        <f>'assets '!J40/depo!J40*100-D40</f>
        <v>0</v>
      </c>
      <c r="P40" s="58">
        <f>'assets '!K40/depo!K40*100-E40</f>
        <v>0</v>
      </c>
      <c r="Q40" s="58">
        <f>'assets '!L40/depo!L40*100-F40</f>
        <v>0</v>
      </c>
    </row>
    <row r="41" spans="2:17" ht="18.75" customHeight="1" x14ac:dyDescent="0.2">
      <c r="B41" s="15">
        <v>37</v>
      </c>
      <c r="C41" s="64" t="s">
        <v>44</v>
      </c>
      <c r="D41" s="4">
        <f>'assets '!J41/depo!J41*100</f>
        <v>0</v>
      </c>
      <c r="E41" s="4">
        <v>0</v>
      </c>
      <c r="F41" s="20" t="s">
        <v>124</v>
      </c>
      <c r="G41" s="4">
        <v>9.36</v>
      </c>
      <c r="H41" s="4">
        <v>15.16</v>
      </c>
      <c r="I41" s="20" t="s">
        <v>124</v>
      </c>
      <c r="J41" s="49">
        <v>853.37</v>
      </c>
      <c r="K41" s="74">
        <v>528.10400000000004</v>
      </c>
      <c r="L41" s="73" t="s">
        <v>107</v>
      </c>
      <c r="M41" s="20" t="s">
        <v>124</v>
      </c>
      <c r="O41" s="45">
        <f>'assets '!J41/depo!J41*100-D41</f>
        <v>0</v>
      </c>
      <c r="P41" s="45">
        <f>'assets '!K41/depo!K41*100-E41</f>
        <v>0</v>
      </c>
      <c r="Q41" s="45" t="e">
        <f>'assets '!L41/depo!L41*100-F41</f>
        <v>#VALUE!</v>
      </c>
    </row>
    <row r="42" spans="2:17" ht="18.75" customHeight="1" x14ac:dyDescent="0.2">
      <c r="B42" s="15">
        <v>38</v>
      </c>
      <c r="C42" s="64" t="s">
        <v>73</v>
      </c>
      <c r="D42" s="4">
        <f>'assets '!J42/depo!J42*100</f>
        <v>0.3430570748542679</v>
      </c>
      <c r="E42" s="4">
        <v>0.61</v>
      </c>
      <c r="F42" s="4">
        <v>0.99</v>
      </c>
      <c r="G42" s="4">
        <v>23.94</v>
      </c>
      <c r="H42" s="4">
        <v>17.010000000000002</v>
      </c>
      <c r="I42" s="4">
        <v>17.36</v>
      </c>
      <c r="J42" s="49">
        <v>4.2300000000000004</v>
      </c>
      <c r="K42" s="47">
        <v>-6</v>
      </c>
      <c r="L42" s="73" t="s">
        <v>107</v>
      </c>
      <c r="M42" s="120">
        <v>-13</v>
      </c>
      <c r="O42" s="45">
        <f>'assets '!J42/depo!J42*100-D42</f>
        <v>0</v>
      </c>
      <c r="P42" s="45">
        <f>'assets '!K42/depo!K42*100-E42</f>
        <v>2.890284512822805E-3</v>
      </c>
      <c r="Q42" s="45">
        <f>'assets '!L42/depo!L42*100-F42</f>
        <v>-2.813165092686809E-3</v>
      </c>
    </row>
    <row r="43" spans="2:17" ht="18.75" customHeight="1" x14ac:dyDescent="0.2">
      <c r="B43" s="15">
        <v>39</v>
      </c>
      <c r="C43" s="64" t="s">
        <v>50</v>
      </c>
      <c r="D43" s="4">
        <v>0.16</v>
      </c>
      <c r="E43" s="4">
        <v>7.0000000000000007E-2</v>
      </c>
      <c r="F43" s="4">
        <v>0.15</v>
      </c>
      <c r="G43" s="4">
        <v>41.44</v>
      </c>
      <c r="H43" s="4">
        <v>50.13</v>
      </c>
      <c r="I43" s="4">
        <v>62.1</v>
      </c>
      <c r="J43" s="49">
        <v>17.989999999999998</v>
      </c>
      <c r="K43" s="46">
        <v>14</v>
      </c>
      <c r="L43" s="73" t="s">
        <v>107</v>
      </c>
      <c r="M43" s="85">
        <v>26</v>
      </c>
      <c r="O43" s="45">
        <f>'assets '!J43/depo!J43*100-D43</f>
        <v>-5.1766348694573527E-3</v>
      </c>
      <c r="P43" s="45">
        <f>'assets '!K43/depo!K43*100-E43</f>
        <v>2.1056075747254294E-3</v>
      </c>
      <c r="Q43" s="45">
        <f>'assets '!L43/depo!L43*100-F43</f>
        <v>1.7936580553926385E-3</v>
      </c>
    </row>
    <row r="44" spans="2:17" ht="18.75" customHeight="1" x14ac:dyDescent="0.2">
      <c r="B44" s="15">
        <v>40</v>
      </c>
      <c r="C44" s="64" t="s">
        <v>8</v>
      </c>
      <c r="D44" s="4">
        <f>'assets '!J44/depo!J44*100</f>
        <v>0</v>
      </c>
      <c r="E44" s="4">
        <v>0</v>
      </c>
      <c r="F44" s="4">
        <v>0</v>
      </c>
      <c r="G44" s="4">
        <v>43.32</v>
      </c>
      <c r="H44" s="4">
        <v>45.268000000000001</v>
      </c>
      <c r="I44" s="4">
        <v>43.735999999999997</v>
      </c>
      <c r="J44" s="49">
        <v>67.55</v>
      </c>
      <c r="K44" s="73">
        <v>101.59</v>
      </c>
      <c r="L44" s="73" t="s">
        <v>107</v>
      </c>
      <c r="M44" s="48">
        <v>154.24</v>
      </c>
      <c r="O44" s="45">
        <f>'assets '!J44/depo!J44*100-D44</f>
        <v>0</v>
      </c>
      <c r="P44" s="45">
        <f>'assets '!K44/depo!K44*100-E44</f>
        <v>0</v>
      </c>
      <c r="Q44" s="45">
        <f>'assets '!L44/depo!L44*100-F44</f>
        <v>0</v>
      </c>
    </row>
    <row r="45" spans="2:17" s="51" customFormat="1" ht="18.75" customHeight="1" x14ac:dyDescent="0.2">
      <c r="B45" s="15">
        <v>41</v>
      </c>
      <c r="C45" s="64" t="s">
        <v>51</v>
      </c>
      <c r="D45" s="4">
        <v>0.02</v>
      </c>
      <c r="E45" s="4">
        <v>1.53</v>
      </c>
      <c r="F45" s="4">
        <v>12.36</v>
      </c>
      <c r="G45" s="4">
        <v>5.3856000000000002</v>
      </c>
      <c r="H45" s="4">
        <v>5.8983999999999996</v>
      </c>
      <c r="I45" s="4">
        <v>3.9359999999999999</v>
      </c>
      <c r="J45" s="49">
        <v>17.260000000000002</v>
      </c>
      <c r="K45" s="74">
        <v>25.69</v>
      </c>
      <c r="L45" s="73" t="s">
        <v>107</v>
      </c>
      <c r="M45" s="85">
        <v>8.8000000000000007</v>
      </c>
      <c r="O45" s="58">
        <f>'assets '!J45/depo!J45*100-D45</f>
        <v>-0.02</v>
      </c>
      <c r="P45" s="58">
        <f>'assets '!K45/depo!K45*100-E45</f>
        <v>-1.0474092083269992E-2</v>
      </c>
      <c r="Q45" s="58">
        <f>'assets '!L45/depo!L45*100-F45</f>
        <v>-2.6950916489596466E-3</v>
      </c>
    </row>
    <row r="46" spans="2:17" ht="18.75" customHeight="1" x14ac:dyDescent="0.2">
      <c r="B46" s="15">
        <v>42</v>
      </c>
      <c r="C46" s="64" t="s">
        <v>9</v>
      </c>
      <c r="D46" s="4">
        <f>'assets '!J46/depo!J46*100</f>
        <v>0.43686732661369482</v>
      </c>
      <c r="E46" s="4">
        <v>0.35</v>
      </c>
      <c r="F46" s="4">
        <v>0.34</v>
      </c>
      <c r="G46" s="4">
        <v>32.74</v>
      </c>
      <c r="H46" s="4">
        <v>35.344799999999999</v>
      </c>
      <c r="I46" s="4">
        <v>39.042400000000001</v>
      </c>
      <c r="J46" s="49">
        <v>69.930000000000007</v>
      </c>
      <c r="K46" s="74">
        <v>57.59</v>
      </c>
      <c r="L46" s="73" t="s">
        <v>107</v>
      </c>
      <c r="M46" s="48">
        <v>32.14</v>
      </c>
      <c r="O46" s="45">
        <f>'assets '!J46/depo!J46*100-D46</f>
        <v>0</v>
      </c>
      <c r="P46" s="45">
        <f>'assets '!K46/depo!K46*100-E46</f>
        <v>-3.3154210670713891E-3</v>
      </c>
      <c r="Q46" s="45">
        <f>'assets '!L46/depo!L46*100-F46</f>
        <v>-3.8714987198070205E-3</v>
      </c>
    </row>
    <row r="47" spans="2:17" ht="18.75" customHeight="1" x14ac:dyDescent="0.2">
      <c r="B47" s="15">
        <v>43</v>
      </c>
      <c r="C47" s="64" t="s">
        <v>84</v>
      </c>
      <c r="D47" s="4">
        <f>'assets '!J47/depo!J47*100</f>
        <v>0</v>
      </c>
      <c r="E47" s="4">
        <v>0</v>
      </c>
      <c r="F47" s="4">
        <v>0</v>
      </c>
      <c r="G47" s="4">
        <v>105.4</v>
      </c>
      <c r="H47" s="4">
        <v>135.81</v>
      </c>
      <c r="I47" s="4">
        <v>132.72</v>
      </c>
      <c r="J47" s="49">
        <v>148.93</v>
      </c>
      <c r="K47" s="46">
        <v>141</v>
      </c>
      <c r="L47" s="73" t="s">
        <v>107</v>
      </c>
      <c r="M47" s="85">
        <v>166</v>
      </c>
      <c r="O47" s="45">
        <f>'assets '!J47/depo!J47*100-D47</f>
        <v>0</v>
      </c>
      <c r="P47" s="45">
        <f>'assets '!K47/depo!K47*100-E47</f>
        <v>0</v>
      </c>
      <c r="Q47" s="45">
        <f>'assets '!L47/depo!L47*100-F47</f>
        <v>0</v>
      </c>
    </row>
    <row r="48" spans="2:17" ht="18.75" customHeight="1" x14ac:dyDescent="0.2">
      <c r="B48" s="15">
        <v>44</v>
      </c>
      <c r="C48" s="64" t="s">
        <v>40</v>
      </c>
      <c r="D48" s="4">
        <f>'assets '!J48/depo!J48*100</f>
        <v>0</v>
      </c>
      <c r="E48" s="4">
        <v>0</v>
      </c>
      <c r="F48" s="4">
        <v>0</v>
      </c>
      <c r="G48" s="4">
        <v>37.380000000000003</v>
      </c>
      <c r="H48" s="4">
        <v>45.41</v>
      </c>
      <c r="I48" s="4">
        <v>33.716999999999999</v>
      </c>
      <c r="J48" s="49">
        <v>98.64</v>
      </c>
      <c r="K48" s="74">
        <v>76.59</v>
      </c>
      <c r="L48" s="73" t="s">
        <v>107</v>
      </c>
      <c r="M48" s="48">
        <v>103.84</v>
      </c>
      <c r="O48" s="45">
        <f>'assets '!J48/depo!J48*100-D48</f>
        <v>0</v>
      </c>
      <c r="P48" s="45">
        <f>'assets '!K48/depo!K48*100-E48</f>
        <v>0</v>
      </c>
      <c r="Q48" s="45">
        <f>'assets '!L48/depo!L48*100-F48</f>
        <v>0</v>
      </c>
    </row>
    <row r="49" spans="2:17" ht="18.75" customHeight="1" thickBot="1" x14ac:dyDescent="0.25">
      <c r="B49" s="67">
        <v>45</v>
      </c>
      <c r="C49" s="68" t="s">
        <v>52</v>
      </c>
      <c r="D49" s="14">
        <v>0.33</v>
      </c>
      <c r="E49" s="14">
        <v>1.89</v>
      </c>
      <c r="F49" s="14">
        <v>0</v>
      </c>
      <c r="G49" s="14">
        <v>64.17</v>
      </c>
      <c r="H49" s="14">
        <v>68.64</v>
      </c>
      <c r="I49" s="14">
        <v>61.05</v>
      </c>
      <c r="J49" s="50">
        <v>35.83</v>
      </c>
      <c r="K49" s="82">
        <v>22</v>
      </c>
      <c r="L49" s="77" t="s">
        <v>107</v>
      </c>
      <c r="M49" s="120">
        <v>-2</v>
      </c>
      <c r="O49" s="45">
        <f>'assets '!J49/depo!J49*100-D49</f>
        <v>1.6340936275943685E-3</v>
      </c>
      <c r="P49" s="45">
        <f>'assets '!K49/depo!K49*100-E49</f>
        <v>1.2365056642890337E-2</v>
      </c>
      <c r="Q49" s="45">
        <f>'assets '!L49/depo!L49*100-F49</f>
        <v>0</v>
      </c>
    </row>
    <row r="50" spans="2:17" s="51" customFormat="1" ht="19.5" customHeight="1" thickBot="1" x14ac:dyDescent="0.25">
      <c r="B50" s="131" t="s">
        <v>37</v>
      </c>
      <c r="C50" s="132"/>
      <c r="D50" s="9">
        <f>'assets '!J50/depo!J50*100</f>
        <v>0.34045832694462724</v>
      </c>
      <c r="E50" s="9">
        <f>'assets '!K50/depo!K50*100</f>
        <v>0.14798942092709325</v>
      </c>
      <c r="F50" s="9">
        <f>'assets '!L50/depo!L50*100</f>
        <v>0.12517432844005552</v>
      </c>
      <c r="G50" s="159"/>
      <c r="H50" s="160"/>
      <c r="I50" s="160"/>
      <c r="J50" s="160"/>
      <c r="K50" s="160"/>
      <c r="L50" s="160"/>
      <c r="M50" s="161"/>
      <c r="O50" s="58">
        <f>'assets '!J50/depo!J50*100-D50</f>
        <v>0</v>
      </c>
      <c r="P50" s="58">
        <f>'assets '!K50/depo!K50*100-E50</f>
        <v>0</v>
      </c>
      <c r="Q50" s="58">
        <f>'assets '!L50/depo!L50*100-F50</f>
        <v>0</v>
      </c>
    </row>
    <row r="51" spans="2:17" ht="14.25" customHeight="1" x14ac:dyDescent="0.2">
      <c r="B51" s="41"/>
      <c r="C51" s="3"/>
      <c r="D51" s="52"/>
      <c r="E51" s="52"/>
      <c r="F51" s="52"/>
      <c r="G51" s="53"/>
      <c r="H51" s="53"/>
      <c r="I51" s="53"/>
    </row>
    <row r="52" spans="2:17" s="55" customFormat="1" ht="15.6" customHeight="1" x14ac:dyDescent="0.2">
      <c r="B52" s="174" t="s">
        <v>94</v>
      </c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</row>
    <row r="53" spans="2:17" x14ac:dyDescent="0.2">
      <c r="B53" s="174" t="s">
        <v>120</v>
      </c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</row>
    <row r="54" spans="2:17" x14ac:dyDescent="0.2">
      <c r="D54" s="56"/>
      <c r="E54" s="56"/>
      <c r="F54" s="56"/>
    </row>
    <row r="55" spans="2:17" x14ac:dyDescent="0.2">
      <c r="B55" s="175">
        <v>8</v>
      </c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5"/>
    </row>
    <row r="56" spans="2:17" x14ac:dyDescent="0.2">
      <c r="D56" s="56"/>
      <c r="E56" s="56"/>
      <c r="F56" s="56"/>
    </row>
    <row r="57" spans="2:17" x14ac:dyDescent="0.2">
      <c r="D57" s="56"/>
      <c r="E57" s="56"/>
      <c r="F57" s="56"/>
    </row>
    <row r="58" spans="2:17" x14ac:dyDescent="0.2">
      <c r="D58" s="56"/>
      <c r="E58" s="56"/>
      <c r="F58" s="56"/>
    </row>
    <row r="59" spans="2:17" x14ac:dyDescent="0.2">
      <c r="D59" s="56"/>
      <c r="E59" s="56"/>
      <c r="F59" s="56"/>
    </row>
    <row r="60" spans="2:17" x14ac:dyDescent="0.2">
      <c r="D60" s="56"/>
      <c r="E60" s="56"/>
      <c r="F60" s="56"/>
    </row>
    <row r="61" spans="2:17" x14ac:dyDescent="0.2">
      <c r="D61" s="56"/>
      <c r="E61" s="56"/>
      <c r="F61" s="56"/>
    </row>
    <row r="62" spans="2:17" x14ac:dyDescent="0.2">
      <c r="D62" s="56"/>
      <c r="E62" s="56"/>
      <c r="F62" s="56"/>
    </row>
    <row r="63" spans="2:17" x14ac:dyDescent="0.2">
      <c r="D63" s="56"/>
      <c r="E63" s="56"/>
      <c r="F63" s="56"/>
    </row>
    <row r="64" spans="2:17" x14ac:dyDescent="0.2">
      <c r="D64" s="56"/>
      <c r="E64" s="56"/>
      <c r="F64" s="56"/>
    </row>
    <row r="65" spans="4:6" x14ac:dyDescent="0.2">
      <c r="D65" s="56"/>
      <c r="E65" s="56"/>
      <c r="F65" s="56"/>
    </row>
    <row r="66" spans="4:6" x14ac:dyDescent="0.2">
      <c r="D66" s="56"/>
      <c r="E66" s="56"/>
      <c r="F66" s="56"/>
    </row>
    <row r="67" spans="4:6" x14ac:dyDescent="0.2">
      <c r="D67" s="56"/>
      <c r="E67" s="56"/>
      <c r="F67" s="56"/>
    </row>
    <row r="68" spans="4:6" x14ac:dyDescent="0.2">
      <c r="D68" s="56"/>
      <c r="E68" s="56"/>
      <c r="F68" s="56"/>
    </row>
    <row r="69" spans="4:6" x14ac:dyDescent="0.2">
      <c r="D69" s="56"/>
      <c r="E69" s="56"/>
      <c r="F69" s="56"/>
    </row>
    <row r="70" spans="4:6" x14ac:dyDescent="0.2">
      <c r="D70" s="56"/>
      <c r="E70" s="56"/>
      <c r="F70" s="56"/>
    </row>
    <row r="71" spans="4:6" x14ac:dyDescent="0.2">
      <c r="D71" s="56"/>
      <c r="E71" s="56"/>
      <c r="F71" s="56"/>
    </row>
    <row r="72" spans="4:6" x14ac:dyDescent="0.2">
      <c r="D72" s="56"/>
      <c r="E72" s="56"/>
      <c r="F72" s="56"/>
    </row>
    <row r="73" spans="4:6" x14ac:dyDescent="0.2">
      <c r="D73" s="56"/>
      <c r="E73" s="56"/>
      <c r="F73" s="56"/>
    </row>
    <row r="74" spans="4:6" x14ac:dyDescent="0.2">
      <c r="D74" s="56"/>
      <c r="E74" s="56"/>
      <c r="F74" s="56"/>
    </row>
    <row r="75" spans="4:6" x14ac:dyDescent="0.2">
      <c r="D75" s="56"/>
      <c r="E75" s="56"/>
      <c r="F75" s="56"/>
    </row>
    <row r="76" spans="4:6" x14ac:dyDescent="0.2">
      <c r="D76" s="56"/>
      <c r="E76" s="56"/>
      <c r="F76" s="56"/>
    </row>
    <row r="77" spans="4:6" x14ac:dyDescent="0.2">
      <c r="D77" s="56"/>
      <c r="E77" s="56"/>
      <c r="F77" s="56"/>
    </row>
    <row r="78" spans="4:6" x14ac:dyDescent="0.2">
      <c r="D78" s="56"/>
      <c r="E78" s="56"/>
      <c r="F78" s="56"/>
    </row>
    <row r="79" spans="4:6" x14ac:dyDescent="0.2">
      <c r="D79" s="56"/>
      <c r="E79" s="56"/>
      <c r="F79" s="56"/>
    </row>
    <row r="80" spans="4:6" x14ac:dyDescent="0.2">
      <c r="D80" s="56"/>
      <c r="E80" s="56"/>
      <c r="F80" s="56"/>
    </row>
    <row r="81" spans="4:6" x14ac:dyDescent="0.2">
      <c r="D81" s="56"/>
      <c r="E81" s="56"/>
      <c r="F81" s="56"/>
    </row>
    <row r="82" spans="4:6" x14ac:dyDescent="0.2">
      <c r="D82" s="56"/>
      <c r="E82" s="56"/>
      <c r="F82" s="56"/>
    </row>
    <row r="83" spans="4:6" x14ac:dyDescent="0.2">
      <c r="D83" s="56"/>
      <c r="E83" s="56"/>
      <c r="F83" s="56"/>
    </row>
    <row r="84" spans="4:6" x14ac:dyDescent="0.2">
      <c r="D84" s="56"/>
      <c r="E84" s="56"/>
      <c r="F84" s="56"/>
    </row>
    <row r="85" spans="4:6" x14ac:dyDescent="0.2">
      <c r="D85" s="56"/>
      <c r="E85" s="56"/>
      <c r="F85" s="56"/>
    </row>
    <row r="86" spans="4:6" x14ac:dyDescent="0.2">
      <c r="D86" s="56"/>
      <c r="E86" s="56"/>
      <c r="F86" s="56"/>
    </row>
    <row r="87" spans="4:6" x14ac:dyDescent="0.2">
      <c r="D87" s="56"/>
      <c r="E87" s="56"/>
      <c r="F87" s="56"/>
    </row>
    <row r="88" spans="4:6" x14ac:dyDescent="0.2">
      <c r="D88" s="56"/>
      <c r="E88" s="56"/>
      <c r="F88" s="56"/>
    </row>
    <row r="89" spans="4:6" x14ac:dyDescent="0.2">
      <c r="D89" s="56"/>
      <c r="E89" s="56"/>
      <c r="F89" s="56"/>
    </row>
    <row r="90" spans="4:6" x14ac:dyDescent="0.2">
      <c r="D90" s="56"/>
      <c r="E90" s="56"/>
      <c r="F90" s="56"/>
    </row>
    <row r="91" spans="4:6" x14ac:dyDescent="0.2">
      <c r="D91" s="56"/>
      <c r="E91" s="56"/>
      <c r="F91" s="56"/>
    </row>
    <row r="92" spans="4:6" x14ac:dyDescent="0.2">
      <c r="D92" s="56"/>
      <c r="E92" s="56"/>
      <c r="F92" s="56"/>
    </row>
    <row r="93" spans="4:6" x14ac:dyDescent="0.2">
      <c r="D93" s="56"/>
      <c r="E93" s="56"/>
      <c r="F93" s="56"/>
    </row>
    <row r="94" spans="4:6" x14ac:dyDescent="0.2">
      <c r="D94" s="56"/>
      <c r="E94" s="56"/>
      <c r="F94" s="56"/>
    </row>
    <row r="95" spans="4:6" x14ac:dyDescent="0.2">
      <c r="D95" s="56"/>
      <c r="E95" s="56"/>
      <c r="F95" s="56"/>
    </row>
    <row r="96" spans="4:6" x14ac:dyDescent="0.2">
      <c r="D96" s="56"/>
      <c r="E96" s="56"/>
      <c r="F96" s="56"/>
    </row>
    <row r="97" spans="4:6" x14ac:dyDescent="0.2">
      <c r="D97" s="56"/>
      <c r="E97" s="56"/>
      <c r="F97" s="56"/>
    </row>
    <row r="98" spans="4:6" x14ac:dyDescent="0.2">
      <c r="D98" s="56"/>
      <c r="E98" s="56"/>
      <c r="F98" s="56"/>
    </row>
    <row r="99" spans="4:6" x14ac:dyDescent="0.2">
      <c r="D99" s="56"/>
      <c r="E99" s="56"/>
      <c r="F99" s="56"/>
    </row>
    <row r="100" spans="4:6" x14ac:dyDescent="0.2">
      <c r="D100" s="56"/>
      <c r="E100" s="56"/>
      <c r="F100" s="56"/>
    </row>
    <row r="101" spans="4:6" x14ac:dyDescent="0.2">
      <c r="D101" s="56"/>
      <c r="E101" s="56"/>
      <c r="F101" s="56"/>
    </row>
    <row r="102" spans="4:6" x14ac:dyDescent="0.2">
      <c r="D102" s="56"/>
      <c r="E102" s="56"/>
      <c r="F102" s="56"/>
    </row>
    <row r="103" spans="4:6" x14ac:dyDescent="0.2">
      <c r="D103" s="56"/>
      <c r="E103" s="56"/>
      <c r="F103" s="56"/>
    </row>
    <row r="104" spans="4:6" x14ac:dyDescent="0.2">
      <c r="D104" s="56"/>
      <c r="E104" s="56"/>
      <c r="F104" s="56"/>
    </row>
    <row r="105" spans="4:6" x14ac:dyDescent="0.2">
      <c r="D105" s="56"/>
      <c r="E105" s="56"/>
      <c r="F105" s="56"/>
    </row>
    <row r="106" spans="4:6" x14ac:dyDescent="0.2">
      <c r="D106" s="56"/>
      <c r="E106" s="56"/>
      <c r="F106" s="56"/>
    </row>
    <row r="107" spans="4:6" x14ac:dyDescent="0.2">
      <c r="D107" s="56"/>
      <c r="E107" s="56"/>
      <c r="F107" s="56"/>
    </row>
    <row r="108" spans="4:6" x14ac:dyDescent="0.2">
      <c r="D108" s="56"/>
      <c r="E108" s="56"/>
      <c r="F108" s="56"/>
    </row>
    <row r="109" spans="4:6" x14ac:dyDescent="0.2">
      <c r="D109" s="56"/>
      <c r="E109" s="56"/>
      <c r="F109" s="56"/>
    </row>
    <row r="110" spans="4:6" x14ac:dyDescent="0.2">
      <c r="D110" s="56"/>
      <c r="E110" s="56"/>
      <c r="F110" s="56"/>
    </row>
    <row r="111" spans="4:6" x14ac:dyDescent="0.2">
      <c r="D111" s="56"/>
      <c r="E111" s="56"/>
      <c r="F111" s="56"/>
    </row>
    <row r="112" spans="4:6" x14ac:dyDescent="0.2">
      <c r="D112" s="56"/>
      <c r="E112" s="56"/>
      <c r="F112" s="56"/>
    </row>
    <row r="113" spans="4:6" x14ac:dyDescent="0.2">
      <c r="D113" s="56"/>
      <c r="E113" s="56"/>
      <c r="F113" s="56"/>
    </row>
    <row r="114" spans="4:6" x14ac:dyDescent="0.2">
      <c r="D114" s="56"/>
      <c r="E114" s="56"/>
      <c r="F114" s="56"/>
    </row>
    <row r="115" spans="4:6" x14ac:dyDescent="0.2">
      <c r="D115" s="56"/>
      <c r="E115" s="56"/>
      <c r="F115" s="56"/>
    </row>
    <row r="116" spans="4:6" x14ac:dyDescent="0.2">
      <c r="D116" s="56"/>
      <c r="E116" s="56"/>
      <c r="F116" s="56"/>
    </row>
    <row r="117" spans="4:6" x14ac:dyDescent="0.2">
      <c r="D117" s="56"/>
      <c r="E117" s="56"/>
      <c r="F117" s="56"/>
    </row>
    <row r="118" spans="4:6" x14ac:dyDescent="0.2">
      <c r="D118" s="56"/>
      <c r="E118" s="56"/>
      <c r="F118" s="56"/>
    </row>
    <row r="119" spans="4:6" x14ac:dyDescent="0.2">
      <c r="D119" s="56"/>
      <c r="E119" s="56"/>
      <c r="F119" s="56"/>
    </row>
    <row r="120" spans="4:6" x14ac:dyDescent="0.2">
      <c r="D120" s="56"/>
      <c r="E120" s="56"/>
      <c r="F120" s="56"/>
    </row>
    <row r="121" spans="4:6" x14ac:dyDescent="0.2">
      <c r="D121" s="56"/>
      <c r="E121" s="56"/>
      <c r="F121" s="56"/>
    </row>
    <row r="122" spans="4:6" x14ac:dyDescent="0.2">
      <c r="D122" s="56"/>
      <c r="E122" s="56"/>
      <c r="F122" s="56"/>
    </row>
    <row r="123" spans="4:6" x14ac:dyDescent="0.2">
      <c r="D123" s="56"/>
      <c r="E123" s="56"/>
      <c r="F123" s="56"/>
    </row>
    <row r="124" spans="4:6" x14ac:dyDescent="0.2">
      <c r="D124" s="56"/>
      <c r="E124" s="56"/>
      <c r="F124" s="56"/>
    </row>
    <row r="125" spans="4:6" x14ac:dyDescent="0.2">
      <c r="D125" s="56"/>
      <c r="E125" s="56"/>
      <c r="F125" s="56"/>
    </row>
    <row r="126" spans="4:6" x14ac:dyDescent="0.2">
      <c r="D126" s="56"/>
      <c r="E126" s="56"/>
      <c r="F126" s="56"/>
    </row>
    <row r="127" spans="4:6" x14ac:dyDescent="0.2">
      <c r="D127" s="56"/>
      <c r="E127" s="56"/>
      <c r="F127" s="56"/>
    </row>
    <row r="128" spans="4:6" x14ac:dyDescent="0.2">
      <c r="D128" s="56"/>
      <c r="E128" s="56"/>
      <c r="F128" s="56"/>
    </row>
    <row r="129" spans="4:6" x14ac:dyDescent="0.2">
      <c r="D129" s="56"/>
      <c r="E129" s="56"/>
      <c r="F129" s="56"/>
    </row>
    <row r="130" spans="4:6" x14ac:dyDescent="0.2">
      <c r="D130" s="56"/>
      <c r="E130" s="56"/>
      <c r="F130" s="56"/>
    </row>
    <row r="131" spans="4:6" x14ac:dyDescent="0.2">
      <c r="D131" s="56"/>
      <c r="E131" s="56"/>
      <c r="F131" s="56"/>
    </row>
    <row r="132" spans="4:6" x14ac:dyDescent="0.2">
      <c r="D132" s="56"/>
      <c r="E132" s="56"/>
      <c r="F132" s="56"/>
    </row>
    <row r="133" spans="4:6" x14ac:dyDescent="0.2">
      <c r="D133" s="56"/>
      <c r="E133" s="56"/>
      <c r="F133" s="56"/>
    </row>
    <row r="134" spans="4:6" x14ac:dyDescent="0.2">
      <c r="D134" s="56"/>
      <c r="E134" s="56"/>
      <c r="F134" s="56"/>
    </row>
    <row r="135" spans="4:6" x14ac:dyDescent="0.2">
      <c r="D135" s="56"/>
      <c r="E135" s="56"/>
      <c r="F135" s="56"/>
    </row>
    <row r="136" spans="4:6" x14ac:dyDescent="0.2">
      <c r="D136" s="56"/>
      <c r="E136" s="56"/>
      <c r="F136" s="56"/>
    </row>
    <row r="137" spans="4:6" x14ac:dyDescent="0.2">
      <c r="D137" s="56"/>
      <c r="E137" s="56"/>
      <c r="F137" s="56"/>
    </row>
    <row r="138" spans="4:6" x14ac:dyDescent="0.2">
      <c r="D138" s="56"/>
      <c r="E138" s="56"/>
      <c r="F138" s="56"/>
    </row>
    <row r="139" spans="4:6" x14ac:dyDescent="0.2">
      <c r="D139" s="56"/>
      <c r="E139" s="56"/>
      <c r="F139" s="56"/>
    </row>
    <row r="140" spans="4:6" x14ac:dyDescent="0.2">
      <c r="D140" s="56"/>
      <c r="E140" s="56"/>
      <c r="F140" s="56"/>
    </row>
    <row r="141" spans="4:6" x14ac:dyDescent="0.2">
      <c r="D141" s="56"/>
      <c r="E141" s="56"/>
      <c r="F141" s="56"/>
    </row>
    <row r="142" spans="4:6" x14ac:dyDescent="0.2">
      <c r="D142" s="56"/>
      <c r="E142" s="56"/>
      <c r="F142" s="56"/>
    </row>
    <row r="143" spans="4:6" x14ac:dyDescent="0.2">
      <c r="D143" s="56"/>
      <c r="E143" s="56"/>
      <c r="F143" s="56"/>
    </row>
    <row r="144" spans="4:6" x14ac:dyDescent="0.2">
      <c r="D144" s="56"/>
      <c r="E144" s="56"/>
      <c r="F144" s="56"/>
    </row>
    <row r="145" spans="4:6" x14ac:dyDescent="0.2">
      <c r="D145" s="56"/>
      <c r="E145" s="56"/>
      <c r="F145" s="56"/>
    </row>
    <row r="146" spans="4:6" x14ac:dyDescent="0.2">
      <c r="D146" s="56"/>
      <c r="E146" s="56"/>
      <c r="F146" s="56"/>
    </row>
    <row r="147" spans="4:6" x14ac:dyDescent="0.2">
      <c r="D147" s="56"/>
      <c r="E147" s="56"/>
      <c r="F147" s="56"/>
    </row>
    <row r="148" spans="4:6" x14ac:dyDescent="0.2">
      <c r="D148" s="56"/>
      <c r="E148" s="56"/>
      <c r="F148" s="56"/>
    </row>
    <row r="149" spans="4:6" x14ac:dyDescent="0.2">
      <c r="D149" s="56"/>
      <c r="E149" s="56"/>
      <c r="F149" s="56"/>
    </row>
    <row r="150" spans="4:6" x14ac:dyDescent="0.2">
      <c r="D150" s="56"/>
      <c r="E150" s="56"/>
      <c r="F150" s="56"/>
    </row>
    <row r="151" spans="4:6" x14ac:dyDescent="0.2">
      <c r="D151" s="56"/>
      <c r="E151" s="56"/>
      <c r="F151" s="56"/>
    </row>
    <row r="152" spans="4:6" x14ac:dyDescent="0.2">
      <c r="D152" s="56"/>
      <c r="E152" s="56"/>
      <c r="F152" s="56"/>
    </row>
    <row r="153" spans="4:6" x14ac:dyDescent="0.2">
      <c r="D153" s="56"/>
      <c r="E153" s="56"/>
      <c r="F153" s="56"/>
    </row>
    <row r="154" spans="4:6" x14ac:dyDescent="0.2">
      <c r="D154" s="56"/>
      <c r="E154" s="56"/>
      <c r="F154" s="56"/>
    </row>
    <row r="155" spans="4:6" x14ac:dyDescent="0.2">
      <c r="D155" s="56"/>
      <c r="E155" s="56"/>
      <c r="F155" s="56"/>
    </row>
    <row r="156" spans="4:6" x14ac:dyDescent="0.2">
      <c r="D156" s="56"/>
      <c r="E156" s="56"/>
      <c r="F156" s="56"/>
    </row>
    <row r="157" spans="4:6" x14ac:dyDescent="0.2">
      <c r="D157" s="56"/>
      <c r="E157" s="56"/>
      <c r="F157" s="56"/>
    </row>
    <row r="158" spans="4:6" x14ac:dyDescent="0.2">
      <c r="D158" s="56"/>
      <c r="E158" s="56"/>
      <c r="F158" s="56"/>
    </row>
    <row r="159" spans="4:6" x14ac:dyDescent="0.2">
      <c r="D159" s="56"/>
      <c r="E159" s="56"/>
      <c r="F159" s="56"/>
    </row>
    <row r="160" spans="4:6" x14ac:dyDescent="0.2">
      <c r="D160" s="56"/>
      <c r="E160" s="56"/>
      <c r="F160" s="56"/>
    </row>
    <row r="161" spans="4:6" x14ac:dyDescent="0.2">
      <c r="D161" s="56"/>
      <c r="E161" s="56"/>
      <c r="F161" s="56"/>
    </row>
    <row r="162" spans="4:6" x14ac:dyDescent="0.2">
      <c r="D162" s="56"/>
      <c r="E162" s="56"/>
      <c r="F162" s="56"/>
    </row>
    <row r="163" spans="4:6" x14ac:dyDescent="0.2">
      <c r="D163" s="56"/>
      <c r="E163" s="56"/>
      <c r="F163" s="56"/>
    </row>
    <row r="164" spans="4:6" x14ac:dyDescent="0.2">
      <c r="D164" s="56"/>
      <c r="E164" s="56"/>
      <c r="F164" s="56"/>
    </row>
    <row r="165" spans="4:6" x14ac:dyDescent="0.2">
      <c r="D165" s="56"/>
      <c r="E165" s="56"/>
      <c r="F165" s="56"/>
    </row>
    <row r="166" spans="4:6" x14ac:dyDescent="0.2">
      <c r="D166" s="56"/>
      <c r="E166" s="56"/>
      <c r="F166" s="56"/>
    </row>
    <row r="167" spans="4:6" x14ac:dyDescent="0.2">
      <c r="D167" s="56"/>
      <c r="E167" s="56"/>
      <c r="F167" s="56"/>
    </row>
    <row r="168" spans="4:6" x14ac:dyDescent="0.2">
      <c r="D168" s="56"/>
      <c r="E168" s="56"/>
      <c r="F168" s="56"/>
    </row>
    <row r="169" spans="4:6" x14ac:dyDescent="0.2">
      <c r="D169" s="56"/>
      <c r="E169" s="56"/>
      <c r="F169" s="56"/>
    </row>
    <row r="170" spans="4:6" x14ac:dyDescent="0.2">
      <c r="D170" s="56"/>
      <c r="E170" s="56"/>
      <c r="F170" s="56"/>
    </row>
    <row r="171" spans="4:6" x14ac:dyDescent="0.2">
      <c r="D171" s="56"/>
      <c r="E171" s="56"/>
      <c r="F171" s="56"/>
    </row>
    <row r="172" spans="4:6" x14ac:dyDescent="0.2">
      <c r="D172" s="56"/>
      <c r="E172" s="56"/>
      <c r="F172" s="56"/>
    </row>
    <row r="173" spans="4:6" x14ac:dyDescent="0.2">
      <c r="D173" s="56"/>
      <c r="E173" s="56"/>
      <c r="F173" s="56"/>
    </row>
    <row r="174" spans="4:6" x14ac:dyDescent="0.2">
      <c r="D174" s="56"/>
      <c r="E174" s="56"/>
      <c r="F174" s="56"/>
    </row>
    <row r="175" spans="4:6" x14ac:dyDescent="0.2">
      <c r="D175" s="56"/>
      <c r="E175" s="56"/>
      <c r="F175" s="56"/>
    </row>
    <row r="176" spans="4:6" x14ac:dyDescent="0.2">
      <c r="D176" s="56"/>
      <c r="E176" s="56"/>
      <c r="F176" s="56"/>
    </row>
    <row r="177" spans="4:6" x14ac:dyDescent="0.2">
      <c r="D177" s="56"/>
      <c r="E177" s="56"/>
      <c r="F177" s="56"/>
    </row>
    <row r="178" spans="4:6" x14ac:dyDescent="0.2">
      <c r="D178" s="56"/>
      <c r="E178" s="56"/>
      <c r="F178" s="56"/>
    </row>
    <row r="179" spans="4:6" x14ac:dyDescent="0.2">
      <c r="D179" s="56"/>
      <c r="E179" s="56"/>
      <c r="F179" s="56"/>
    </row>
    <row r="180" spans="4:6" x14ac:dyDescent="0.2">
      <c r="D180" s="56"/>
      <c r="E180" s="56"/>
      <c r="F180" s="56"/>
    </row>
    <row r="181" spans="4:6" x14ac:dyDescent="0.2">
      <c r="D181" s="56"/>
      <c r="E181" s="56"/>
      <c r="F181" s="56"/>
    </row>
    <row r="182" spans="4:6" x14ac:dyDescent="0.2">
      <c r="D182" s="56"/>
      <c r="E182" s="56"/>
      <c r="F182" s="56"/>
    </row>
    <row r="183" spans="4:6" x14ac:dyDescent="0.2">
      <c r="D183" s="56"/>
      <c r="E183" s="56"/>
      <c r="F183" s="56"/>
    </row>
    <row r="184" spans="4:6" x14ac:dyDescent="0.2">
      <c r="D184" s="56"/>
      <c r="E184" s="56"/>
      <c r="F184" s="56"/>
    </row>
    <row r="185" spans="4:6" x14ac:dyDescent="0.2">
      <c r="D185" s="56"/>
      <c r="E185" s="56"/>
      <c r="F185" s="56"/>
    </row>
    <row r="186" spans="4:6" x14ac:dyDescent="0.2">
      <c r="D186" s="56"/>
      <c r="E186" s="56"/>
      <c r="F186" s="56"/>
    </row>
    <row r="187" spans="4:6" x14ac:dyDescent="0.2">
      <c r="D187" s="56"/>
      <c r="E187" s="56"/>
      <c r="F187" s="56"/>
    </row>
    <row r="188" spans="4:6" x14ac:dyDescent="0.2">
      <c r="D188" s="56"/>
      <c r="E188" s="56"/>
      <c r="F188" s="56"/>
    </row>
    <row r="189" spans="4:6" x14ac:dyDescent="0.2">
      <c r="D189" s="56"/>
      <c r="E189" s="56"/>
      <c r="F189" s="56"/>
    </row>
    <row r="190" spans="4:6" x14ac:dyDescent="0.2">
      <c r="D190" s="56"/>
      <c r="E190" s="56"/>
      <c r="F190" s="56"/>
    </row>
    <row r="191" spans="4:6" x14ac:dyDescent="0.2">
      <c r="D191" s="56"/>
      <c r="E191" s="56"/>
      <c r="F191" s="56"/>
    </row>
    <row r="192" spans="4:6" x14ac:dyDescent="0.2">
      <c r="D192" s="56"/>
      <c r="E192" s="56"/>
      <c r="F192" s="56"/>
    </row>
    <row r="193" spans="4:6" x14ac:dyDescent="0.2">
      <c r="D193" s="56"/>
      <c r="E193" s="56"/>
      <c r="F193" s="56"/>
    </row>
    <row r="194" spans="4:6" x14ac:dyDescent="0.2">
      <c r="D194" s="56"/>
      <c r="E194" s="56"/>
      <c r="F194" s="56"/>
    </row>
    <row r="195" spans="4:6" x14ac:dyDescent="0.2">
      <c r="D195" s="56"/>
      <c r="E195" s="56"/>
      <c r="F195" s="56"/>
    </row>
    <row r="196" spans="4:6" x14ac:dyDescent="0.2">
      <c r="D196" s="56"/>
      <c r="E196" s="56"/>
      <c r="F196" s="56"/>
    </row>
    <row r="197" spans="4:6" x14ac:dyDescent="0.2">
      <c r="D197" s="56"/>
      <c r="E197" s="56"/>
      <c r="F197" s="56"/>
    </row>
    <row r="198" spans="4:6" x14ac:dyDescent="0.2">
      <c r="D198" s="56"/>
      <c r="E198" s="56"/>
      <c r="F198" s="56"/>
    </row>
    <row r="199" spans="4:6" x14ac:dyDescent="0.2">
      <c r="D199" s="56"/>
      <c r="E199" s="56"/>
      <c r="F199" s="56"/>
    </row>
    <row r="200" spans="4:6" x14ac:dyDescent="0.2">
      <c r="D200" s="56"/>
      <c r="E200" s="56"/>
      <c r="F200" s="56"/>
    </row>
    <row r="201" spans="4:6" x14ac:dyDescent="0.2">
      <c r="D201" s="56"/>
      <c r="E201" s="56"/>
      <c r="F201" s="56"/>
    </row>
    <row r="202" spans="4:6" x14ac:dyDescent="0.2">
      <c r="D202" s="56"/>
      <c r="E202" s="56"/>
      <c r="F202" s="56"/>
    </row>
    <row r="203" spans="4:6" x14ac:dyDescent="0.2">
      <c r="D203" s="56"/>
      <c r="E203" s="56"/>
      <c r="F203" s="56"/>
    </row>
    <row r="204" spans="4:6" x14ac:dyDescent="0.2">
      <c r="D204" s="56"/>
      <c r="E204" s="56"/>
      <c r="F204" s="56"/>
    </row>
    <row r="205" spans="4:6" x14ac:dyDescent="0.2">
      <c r="D205" s="56"/>
      <c r="E205" s="56"/>
      <c r="F205" s="56"/>
    </row>
    <row r="206" spans="4:6" x14ac:dyDescent="0.2">
      <c r="D206" s="56"/>
      <c r="E206" s="56"/>
      <c r="F206" s="56"/>
    </row>
    <row r="207" spans="4:6" x14ac:dyDescent="0.2">
      <c r="D207" s="56"/>
      <c r="E207" s="56"/>
      <c r="F207" s="56"/>
    </row>
    <row r="208" spans="4:6" x14ac:dyDescent="0.2">
      <c r="D208" s="56"/>
      <c r="E208" s="56"/>
      <c r="F208" s="56"/>
    </row>
    <row r="209" spans="4:6" x14ac:dyDescent="0.2">
      <c r="D209" s="56"/>
      <c r="E209" s="56"/>
      <c r="F209" s="56"/>
    </row>
    <row r="210" spans="4:6" x14ac:dyDescent="0.2">
      <c r="D210" s="56"/>
      <c r="E210" s="56"/>
      <c r="F210" s="56"/>
    </row>
    <row r="211" spans="4:6" x14ac:dyDescent="0.2">
      <c r="D211" s="56"/>
      <c r="E211" s="56"/>
      <c r="F211" s="56"/>
    </row>
    <row r="212" spans="4:6" x14ac:dyDescent="0.2">
      <c r="D212" s="56"/>
      <c r="E212" s="56"/>
      <c r="F212" s="56"/>
    </row>
    <row r="213" spans="4:6" x14ac:dyDescent="0.2">
      <c r="D213" s="56"/>
      <c r="E213" s="56"/>
      <c r="F213" s="56"/>
    </row>
    <row r="214" spans="4:6" x14ac:dyDescent="0.2">
      <c r="D214" s="56"/>
      <c r="E214" s="56"/>
      <c r="F214" s="56"/>
    </row>
    <row r="215" spans="4:6" x14ac:dyDescent="0.2">
      <c r="D215" s="56"/>
      <c r="E215" s="56"/>
      <c r="F215" s="56"/>
    </row>
    <row r="216" spans="4:6" x14ac:dyDescent="0.2">
      <c r="D216" s="56"/>
      <c r="E216" s="56"/>
      <c r="F216" s="56"/>
    </row>
    <row r="217" spans="4:6" x14ac:dyDescent="0.2">
      <c r="D217" s="56"/>
      <c r="E217" s="56"/>
      <c r="F217" s="56"/>
    </row>
    <row r="218" spans="4:6" x14ac:dyDescent="0.2">
      <c r="D218" s="56"/>
      <c r="E218" s="56"/>
      <c r="F218" s="56"/>
    </row>
    <row r="219" spans="4:6" x14ac:dyDescent="0.2">
      <c r="D219" s="56"/>
      <c r="E219" s="56"/>
      <c r="F219" s="56"/>
    </row>
    <row r="220" spans="4:6" x14ac:dyDescent="0.2">
      <c r="D220" s="56"/>
      <c r="E220" s="56"/>
      <c r="F220" s="56"/>
    </row>
    <row r="221" spans="4:6" x14ac:dyDescent="0.2">
      <c r="D221" s="56"/>
      <c r="E221" s="56"/>
      <c r="F221" s="56"/>
    </row>
    <row r="222" spans="4:6" x14ac:dyDescent="0.2">
      <c r="D222" s="56"/>
      <c r="E222" s="56"/>
      <c r="F222" s="56"/>
    </row>
    <row r="223" spans="4:6" x14ac:dyDescent="0.2">
      <c r="D223" s="56"/>
      <c r="E223" s="56"/>
      <c r="F223" s="56"/>
    </row>
    <row r="224" spans="4:6" x14ac:dyDescent="0.2">
      <c r="D224" s="56"/>
      <c r="E224" s="56"/>
      <c r="F224" s="56"/>
    </row>
    <row r="225" spans="4:6" x14ac:dyDescent="0.2">
      <c r="D225" s="56"/>
      <c r="E225" s="56"/>
      <c r="F225" s="56"/>
    </row>
    <row r="226" spans="4:6" x14ac:dyDescent="0.2">
      <c r="D226" s="56"/>
      <c r="E226" s="56"/>
      <c r="F226" s="56"/>
    </row>
    <row r="227" spans="4:6" x14ac:dyDescent="0.2">
      <c r="D227" s="56"/>
      <c r="E227" s="56"/>
      <c r="F227" s="56"/>
    </row>
    <row r="228" spans="4:6" x14ac:dyDescent="0.2">
      <c r="D228" s="56"/>
      <c r="E228" s="56"/>
      <c r="F228" s="56"/>
    </row>
    <row r="229" spans="4:6" x14ac:dyDescent="0.2">
      <c r="D229" s="56"/>
      <c r="E229" s="56"/>
      <c r="F229" s="56"/>
    </row>
    <row r="230" spans="4:6" x14ac:dyDescent="0.2">
      <c r="D230" s="56"/>
      <c r="E230" s="56"/>
      <c r="F230" s="56"/>
    </row>
    <row r="231" spans="4:6" x14ac:dyDescent="0.2">
      <c r="D231" s="56"/>
      <c r="E231" s="56"/>
      <c r="F231" s="56"/>
    </row>
    <row r="232" spans="4:6" x14ac:dyDescent="0.2">
      <c r="D232" s="56"/>
      <c r="E232" s="56"/>
      <c r="F232" s="56"/>
    </row>
    <row r="233" spans="4:6" x14ac:dyDescent="0.2">
      <c r="D233" s="56"/>
      <c r="E233" s="56"/>
      <c r="F233" s="56"/>
    </row>
    <row r="234" spans="4:6" x14ac:dyDescent="0.2">
      <c r="D234" s="56"/>
      <c r="E234" s="56"/>
      <c r="F234" s="56"/>
    </row>
    <row r="235" spans="4:6" x14ac:dyDescent="0.2">
      <c r="D235" s="56"/>
      <c r="E235" s="56"/>
      <c r="F235" s="56"/>
    </row>
    <row r="236" spans="4:6" x14ac:dyDescent="0.2">
      <c r="D236" s="56"/>
      <c r="E236" s="56"/>
      <c r="F236" s="56"/>
    </row>
    <row r="237" spans="4:6" x14ac:dyDescent="0.2">
      <c r="D237" s="56"/>
      <c r="E237" s="56"/>
      <c r="F237" s="56"/>
    </row>
    <row r="238" spans="4:6" x14ac:dyDescent="0.2">
      <c r="D238" s="56"/>
      <c r="E238" s="56"/>
      <c r="F238" s="56"/>
    </row>
    <row r="239" spans="4:6" x14ac:dyDescent="0.2">
      <c r="D239" s="56"/>
      <c r="E239" s="56"/>
      <c r="F239" s="56"/>
    </row>
    <row r="240" spans="4:6" x14ac:dyDescent="0.2">
      <c r="D240" s="56"/>
      <c r="E240" s="56"/>
      <c r="F240" s="56"/>
    </row>
    <row r="241" spans="4:6" x14ac:dyDescent="0.2">
      <c r="D241" s="56"/>
      <c r="E241" s="56"/>
      <c r="F241" s="56"/>
    </row>
    <row r="242" spans="4:6" x14ac:dyDescent="0.2">
      <c r="D242" s="56"/>
      <c r="E242" s="56"/>
      <c r="F242" s="56"/>
    </row>
    <row r="243" spans="4:6" x14ac:dyDescent="0.2">
      <c r="D243" s="56"/>
      <c r="E243" s="56"/>
      <c r="F243" s="56"/>
    </row>
    <row r="244" spans="4:6" x14ac:dyDescent="0.2">
      <c r="D244" s="56"/>
      <c r="E244" s="56"/>
      <c r="F244" s="56"/>
    </row>
    <row r="245" spans="4:6" x14ac:dyDescent="0.2">
      <c r="D245" s="56"/>
      <c r="E245" s="56"/>
      <c r="F245" s="56"/>
    </row>
    <row r="246" spans="4:6" x14ac:dyDescent="0.2">
      <c r="D246" s="56"/>
      <c r="E246" s="56"/>
      <c r="F246" s="56"/>
    </row>
    <row r="247" spans="4:6" x14ac:dyDescent="0.2">
      <c r="D247" s="56"/>
      <c r="E247" s="56"/>
      <c r="F247" s="56"/>
    </row>
    <row r="248" spans="4:6" x14ac:dyDescent="0.2">
      <c r="D248" s="56"/>
      <c r="E248" s="56"/>
      <c r="F248" s="56"/>
    </row>
    <row r="249" spans="4:6" x14ac:dyDescent="0.2">
      <c r="D249" s="56"/>
      <c r="E249" s="56"/>
      <c r="F249" s="56"/>
    </row>
    <row r="250" spans="4:6" x14ac:dyDescent="0.2">
      <c r="D250" s="56"/>
      <c r="E250" s="56"/>
      <c r="F250" s="56"/>
    </row>
    <row r="251" spans="4:6" x14ac:dyDescent="0.2">
      <c r="D251" s="56"/>
      <c r="E251" s="56"/>
      <c r="F251" s="56"/>
    </row>
    <row r="252" spans="4:6" x14ac:dyDescent="0.2">
      <c r="D252" s="56"/>
      <c r="E252" s="56"/>
      <c r="F252" s="56"/>
    </row>
    <row r="253" spans="4:6" x14ac:dyDescent="0.2">
      <c r="D253" s="56"/>
      <c r="E253" s="56"/>
      <c r="F253" s="56"/>
    </row>
    <row r="254" spans="4:6" x14ac:dyDescent="0.2">
      <c r="D254" s="56"/>
      <c r="E254" s="56"/>
      <c r="F254" s="56"/>
    </row>
    <row r="255" spans="4:6" x14ac:dyDescent="0.2">
      <c r="D255" s="56"/>
      <c r="E255" s="56"/>
      <c r="F255" s="56"/>
    </row>
    <row r="256" spans="4:6" x14ac:dyDescent="0.2">
      <c r="D256" s="56"/>
      <c r="E256" s="56"/>
      <c r="F256" s="56"/>
    </row>
    <row r="257" spans="4:6" x14ac:dyDescent="0.2">
      <c r="D257" s="56"/>
      <c r="E257" s="56"/>
      <c r="F257" s="56"/>
    </row>
    <row r="258" spans="4:6" x14ac:dyDescent="0.2">
      <c r="D258" s="56"/>
      <c r="E258" s="56"/>
      <c r="F258" s="56"/>
    </row>
    <row r="259" spans="4:6" x14ac:dyDescent="0.2">
      <c r="D259" s="56"/>
      <c r="E259" s="56"/>
      <c r="F259" s="56"/>
    </row>
    <row r="260" spans="4:6" x14ac:dyDescent="0.2">
      <c r="D260" s="56"/>
      <c r="E260" s="56"/>
      <c r="F260" s="56"/>
    </row>
    <row r="261" spans="4:6" x14ac:dyDescent="0.2">
      <c r="D261" s="56"/>
      <c r="E261" s="56"/>
      <c r="F261" s="56"/>
    </row>
    <row r="262" spans="4:6" x14ac:dyDescent="0.2">
      <c r="D262" s="56"/>
      <c r="E262" s="56"/>
      <c r="F262" s="56"/>
    </row>
    <row r="263" spans="4:6" x14ac:dyDescent="0.2">
      <c r="D263" s="56"/>
      <c r="E263" s="56"/>
      <c r="F263" s="56"/>
    </row>
    <row r="264" spans="4:6" x14ac:dyDescent="0.2">
      <c r="D264" s="56"/>
      <c r="E264" s="56"/>
      <c r="F264" s="56"/>
    </row>
    <row r="265" spans="4:6" x14ac:dyDescent="0.2">
      <c r="D265" s="56"/>
      <c r="E265" s="56"/>
      <c r="F265" s="56"/>
    </row>
    <row r="266" spans="4:6" x14ac:dyDescent="0.2">
      <c r="D266" s="56"/>
      <c r="E266" s="56"/>
      <c r="F266" s="56"/>
    </row>
    <row r="267" spans="4:6" x14ac:dyDescent="0.2">
      <c r="D267" s="56"/>
      <c r="E267" s="56"/>
      <c r="F267" s="56"/>
    </row>
    <row r="268" spans="4:6" x14ac:dyDescent="0.2">
      <c r="D268" s="56"/>
      <c r="E268" s="56"/>
      <c r="F268" s="56"/>
    </row>
    <row r="269" spans="4:6" x14ac:dyDescent="0.2">
      <c r="D269" s="56"/>
      <c r="E269" s="56"/>
      <c r="F269" s="56"/>
    </row>
    <row r="270" spans="4:6" x14ac:dyDescent="0.2">
      <c r="D270" s="56"/>
      <c r="E270" s="56"/>
      <c r="F270" s="56"/>
    </row>
    <row r="271" spans="4:6" x14ac:dyDescent="0.2">
      <c r="D271" s="56"/>
      <c r="E271" s="56"/>
      <c r="F271" s="56"/>
    </row>
    <row r="272" spans="4:6" x14ac:dyDescent="0.2">
      <c r="D272" s="56"/>
      <c r="E272" s="56"/>
      <c r="F272" s="56"/>
    </row>
    <row r="273" spans="4:6" x14ac:dyDescent="0.2">
      <c r="D273" s="56"/>
      <c r="E273" s="56"/>
      <c r="F273" s="56"/>
    </row>
    <row r="274" spans="4:6" x14ac:dyDescent="0.2">
      <c r="D274" s="56"/>
      <c r="E274" s="56"/>
      <c r="F274" s="56"/>
    </row>
    <row r="275" spans="4:6" x14ac:dyDescent="0.2">
      <c r="D275" s="56"/>
      <c r="E275" s="56"/>
      <c r="F275" s="56"/>
    </row>
    <row r="276" spans="4:6" x14ac:dyDescent="0.2">
      <c r="D276" s="56"/>
      <c r="E276" s="56"/>
      <c r="F276" s="56"/>
    </row>
    <row r="277" spans="4:6" x14ac:dyDescent="0.2">
      <c r="D277" s="56"/>
      <c r="E277" s="56"/>
      <c r="F277" s="56"/>
    </row>
    <row r="278" spans="4:6" x14ac:dyDescent="0.2">
      <c r="D278" s="56"/>
      <c r="E278" s="56"/>
      <c r="F278" s="56"/>
    </row>
    <row r="279" spans="4:6" x14ac:dyDescent="0.2">
      <c r="D279" s="56"/>
      <c r="E279" s="56"/>
      <c r="F279" s="56"/>
    </row>
    <row r="280" spans="4:6" x14ac:dyDescent="0.2">
      <c r="D280" s="56"/>
      <c r="E280" s="56"/>
      <c r="F280" s="56"/>
    </row>
    <row r="281" spans="4:6" x14ac:dyDescent="0.2">
      <c r="D281" s="56"/>
      <c r="E281" s="56"/>
      <c r="F281" s="56"/>
    </row>
    <row r="282" spans="4:6" x14ac:dyDescent="0.2">
      <c r="D282" s="56"/>
      <c r="E282" s="56"/>
      <c r="F282" s="56"/>
    </row>
    <row r="283" spans="4:6" x14ac:dyDescent="0.2">
      <c r="D283" s="56"/>
      <c r="E283" s="56"/>
      <c r="F283" s="56"/>
    </row>
    <row r="284" spans="4:6" x14ac:dyDescent="0.2">
      <c r="D284" s="56"/>
      <c r="E284" s="56"/>
      <c r="F284" s="56"/>
    </row>
    <row r="285" spans="4:6" x14ac:dyDescent="0.2">
      <c r="D285" s="56"/>
      <c r="E285" s="56"/>
      <c r="F285" s="56"/>
    </row>
    <row r="286" spans="4:6" x14ac:dyDescent="0.2">
      <c r="D286" s="56"/>
      <c r="E286" s="56"/>
      <c r="F286" s="56"/>
    </row>
    <row r="287" spans="4:6" x14ac:dyDescent="0.2">
      <c r="D287" s="56"/>
      <c r="E287" s="56"/>
      <c r="F287" s="56"/>
    </row>
    <row r="288" spans="4:6" x14ac:dyDescent="0.2">
      <c r="D288" s="56"/>
      <c r="E288" s="56"/>
      <c r="F288" s="56"/>
    </row>
    <row r="289" spans="4:6" x14ac:dyDescent="0.2">
      <c r="D289" s="56"/>
      <c r="E289" s="56"/>
      <c r="F289" s="56"/>
    </row>
    <row r="290" spans="4:6" x14ac:dyDescent="0.2">
      <c r="D290" s="56"/>
      <c r="E290" s="56"/>
      <c r="F290" s="56"/>
    </row>
    <row r="291" spans="4:6" x14ac:dyDescent="0.2">
      <c r="D291" s="56"/>
      <c r="E291" s="56"/>
      <c r="F291" s="56"/>
    </row>
    <row r="292" spans="4:6" x14ac:dyDescent="0.2">
      <c r="D292" s="56"/>
      <c r="E292" s="56"/>
      <c r="F292" s="56"/>
    </row>
    <row r="293" spans="4:6" x14ac:dyDescent="0.2">
      <c r="D293" s="56"/>
      <c r="E293" s="56"/>
      <c r="F293" s="56"/>
    </row>
    <row r="294" spans="4:6" x14ac:dyDescent="0.2">
      <c r="D294" s="56"/>
      <c r="E294" s="56"/>
      <c r="F294" s="56"/>
    </row>
    <row r="295" spans="4:6" x14ac:dyDescent="0.2">
      <c r="D295" s="56"/>
      <c r="E295" s="56"/>
      <c r="F295" s="56"/>
    </row>
    <row r="296" spans="4:6" x14ac:dyDescent="0.2">
      <c r="D296" s="56"/>
      <c r="E296" s="56"/>
      <c r="F296" s="56"/>
    </row>
    <row r="297" spans="4:6" x14ac:dyDescent="0.2">
      <c r="D297" s="56"/>
      <c r="E297" s="56"/>
      <c r="F297" s="56"/>
    </row>
    <row r="298" spans="4:6" x14ac:dyDescent="0.2">
      <c r="D298" s="56"/>
      <c r="E298" s="56"/>
      <c r="F298" s="56"/>
    </row>
    <row r="299" spans="4:6" x14ac:dyDescent="0.2">
      <c r="D299" s="56"/>
      <c r="E299" s="56"/>
      <c r="F299" s="56"/>
    </row>
    <row r="300" spans="4:6" x14ac:dyDescent="0.2">
      <c r="D300" s="56"/>
      <c r="E300" s="56"/>
      <c r="F300" s="56"/>
    </row>
    <row r="301" spans="4:6" x14ac:dyDescent="0.2">
      <c r="D301" s="56"/>
      <c r="E301" s="56"/>
      <c r="F301" s="56"/>
    </row>
    <row r="302" spans="4:6" x14ac:dyDescent="0.2">
      <c r="D302" s="56"/>
      <c r="E302" s="56"/>
      <c r="F302" s="56"/>
    </row>
    <row r="303" spans="4:6" x14ac:dyDescent="0.2">
      <c r="D303" s="56"/>
      <c r="E303" s="56"/>
      <c r="F303" s="56"/>
    </row>
    <row r="304" spans="4:6" x14ac:dyDescent="0.2">
      <c r="D304" s="56"/>
      <c r="E304" s="56"/>
      <c r="F304" s="56"/>
    </row>
    <row r="305" spans="4:6" x14ac:dyDescent="0.2">
      <c r="D305" s="56"/>
      <c r="E305" s="56"/>
      <c r="F305" s="56"/>
    </row>
  </sheetData>
  <sheetProtection selectLockedCells="1" selectUnlockedCells="1"/>
  <sortState xmlns:xlrd2="http://schemas.microsoft.com/office/spreadsheetml/2017/richdata2" ref="C5:D50">
    <sortCondition ref="C5:C50"/>
  </sortState>
  <mergeCells count="12">
    <mergeCell ref="B52:M52"/>
    <mergeCell ref="B53:M53"/>
    <mergeCell ref="B55:M55"/>
    <mergeCell ref="B2:K2"/>
    <mergeCell ref="B1:M1"/>
    <mergeCell ref="G3:I3"/>
    <mergeCell ref="J3:M3"/>
    <mergeCell ref="B50:C50"/>
    <mergeCell ref="G50:M50"/>
    <mergeCell ref="C3:C4"/>
    <mergeCell ref="B3:B4"/>
    <mergeCell ref="D3:F3"/>
  </mergeCells>
  <phoneticPr fontId="0" type="noConversion"/>
  <printOptions horizontalCentered="1" verticalCentered="1"/>
  <pageMargins left="0.23622047244094491" right="0.23622047244094491" top="0.19685039370078741" bottom="0" header="0" footer="0"/>
  <pageSetup scale="7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depo</vt:lpstr>
      <vt:lpstr>assets </vt:lpstr>
      <vt:lpstr>income </vt:lpstr>
      <vt:lpstr>expenditure</vt:lpstr>
      <vt:lpstr>Profit</vt:lpstr>
      <vt:lpstr>ratio</vt:lpstr>
      <vt:lpstr>ratio1</vt:lpstr>
      <vt:lpstr>ratio2</vt:lpstr>
      <vt:lpstr>'assets '!Print_Area</vt:lpstr>
      <vt:lpstr>depo!Print_Area</vt:lpstr>
      <vt:lpstr>expenditure!Print_Area</vt:lpstr>
      <vt:lpstr>'income '!Print_Area</vt:lpstr>
      <vt:lpstr>Profit!Print_Area</vt:lpstr>
      <vt:lpstr>ratio!Print_Area</vt:lpstr>
      <vt:lpstr>ratio1!Print_Area</vt:lpstr>
      <vt:lpstr>ratio2!Print_Area</vt:lpstr>
    </vt:vector>
  </TitlesOfParts>
  <Company>INDIAN BANKS' ASSOCIATION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</dc:creator>
  <cp:lastModifiedBy>IBA WTC</cp:lastModifiedBy>
  <cp:lastPrinted>2025-09-09T07:38:50Z</cp:lastPrinted>
  <dcterms:created xsi:type="dcterms:W3CDTF">2003-10-16T06:39:44Z</dcterms:created>
  <dcterms:modified xsi:type="dcterms:W3CDTF">2025-09-15T04:36:30Z</dcterms:modified>
</cp:coreProperties>
</file>