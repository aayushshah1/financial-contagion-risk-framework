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7.200.222\eco\MANAGING COMM AGENDA NOTE\2025\June 2025\"/>
    </mc:Choice>
  </mc:AlternateContent>
  <xr:revisionPtr revIDLastSave="0" documentId="13_ncr:1_{F4B50840-8836-4303-BD0E-D885C6B9331A}" xr6:coauthVersionLast="47" xr6:coauthVersionMax="47" xr10:uidLastSave="{00000000-0000-0000-0000-000000000000}"/>
  <bookViews>
    <workbookView xWindow="-108" yWindow="-108" windowWidth="23256" windowHeight="12456" tabRatio="531" xr2:uid="{00000000-000D-0000-FFFF-FFFF00000000}"/>
  </bookViews>
  <sheets>
    <sheet name="DEPO" sheetId="1" r:id="rId1"/>
    <sheet name="Assets" sheetId="2" r:id="rId2"/>
    <sheet name="INCOME" sheetId="3" r:id="rId3"/>
    <sheet name="EXP" sheetId="4" r:id="rId4"/>
    <sheet name="Profit" sheetId="5" r:id="rId5"/>
    <sheet name="CDRatio" sheetId="6" r:id="rId6"/>
    <sheet name="CRAR" sheetId="7" r:id="rId7"/>
    <sheet name="NetNPAtoNetADV" sheetId="9" r:id="rId8"/>
  </sheets>
  <definedNames>
    <definedName name="_xlnm._FilterDatabase" localSheetId="7" hidden="1">NetNPAtoNetADV!$A$4:$L$29</definedName>
    <definedName name="_xlnm.Print_Area" localSheetId="1">Assets!$B$1:$J$31</definedName>
    <definedName name="_xlnm.Print_Area" localSheetId="5">CDRatio!$B$1:$J$29</definedName>
    <definedName name="_xlnm.Print_Area" localSheetId="6">CRAR!$B$1:$J$29</definedName>
    <definedName name="_xlnm.Print_Area" localSheetId="0">DEPO!$B$1:$J$29</definedName>
    <definedName name="_xlnm.Print_Area" localSheetId="3">EXP!$B$1:$J$31</definedName>
    <definedName name="_xlnm.Print_Area" localSheetId="2">INCOME!$A$1:$J$29</definedName>
    <definedName name="_xlnm.Print_Area" localSheetId="7">NetNPAtoNetADV!$B$1:$J$29</definedName>
    <definedName name="_xlnm.Print_Area" localSheetId="4">Profit!$B$1:$J$29</definedName>
  </definedNames>
  <calcPr calcId="191029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4" l="1"/>
  <c r="L5" i="3"/>
  <c r="K5" i="3"/>
  <c r="J5" i="3"/>
  <c r="L5" i="4"/>
  <c r="K5" i="4"/>
  <c r="J5" i="4"/>
  <c r="K28" i="5"/>
  <c r="G10" i="5"/>
  <c r="G7" i="5"/>
  <c r="D16" i="1"/>
  <c r="L28" i="5"/>
  <c r="L29" i="5" s="1"/>
  <c r="J28" i="5"/>
  <c r="I28" i="5"/>
  <c r="L16" i="5"/>
  <c r="L31" i="5" s="1"/>
  <c r="K16" i="5"/>
  <c r="J16" i="5"/>
  <c r="K31" i="5" s="1"/>
  <c r="G16" i="4"/>
  <c r="D16" i="4"/>
  <c r="G16" i="3"/>
  <c r="H32" i="3" s="1"/>
  <c r="D16" i="3"/>
  <c r="J6" i="3"/>
  <c r="J14" i="3"/>
  <c r="K33" i="2"/>
  <c r="I28" i="4"/>
  <c r="L28" i="1"/>
  <c r="L34" i="1" s="1"/>
  <c r="K28" i="1"/>
  <c r="L18" i="4"/>
  <c r="F18" i="7" s="1"/>
  <c r="L18" i="3"/>
  <c r="L22" i="6"/>
  <c r="I22" i="6"/>
  <c r="F22" i="6"/>
  <c r="I22" i="5"/>
  <c r="L22" i="4"/>
  <c r="F22" i="7" s="1"/>
  <c r="L22" i="3"/>
  <c r="L12" i="6"/>
  <c r="I12" i="6"/>
  <c r="F12" i="6"/>
  <c r="I12" i="5"/>
  <c r="L12" i="4"/>
  <c r="F12" i="7" s="1"/>
  <c r="L12" i="3"/>
  <c r="L11" i="6"/>
  <c r="I11" i="6"/>
  <c r="F11" i="6"/>
  <c r="I11" i="5"/>
  <c r="L11" i="4"/>
  <c r="F11" i="7" s="1"/>
  <c r="L11" i="3"/>
  <c r="F15" i="9"/>
  <c r="L15" i="6"/>
  <c r="I15" i="6"/>
  <c r="F15" i="6"/>
  <c r="I15" i="5"/>
  <c r="L15" i="4"/>
  <c r="F15" i="7" s="1"/>
  <c r="L15" i="3"/>
  <c r="F24" i="9"/>
  <c r="I24" i="5"/>
  <c r="L24" i="4"/>
  <c r="F24" i="7" s="1"/>
  <c r="L24" i="3"/>
  <c r="L24" i="6"/>
  <c r="I24" i="6"/>
  <c r="F24" i="6"/>
  <c r="L8" i="6"/>
  <c r="I8" i="6"/>
  <c r="F8" i="6"/>
  <c r="I8" i="5"/>
  <c r="L8" i="4"/>
  <c r="F8" i="7" s="1"/>
  <c r="L8" i="3"/>
  <c r="F28" i="4"/>
  <c r="I16" i="4"/>
  <c r="H16" i="4"/>
  <c r="H33" i="4" s="1"/>
  <c r="F16" i="4"/>
  <c r="I28" i="3"/>
  <c r="H28" i="3"/>
  <c r="I33" i="3" s="1"/>
  <c r="G28" i="3"/>
  <c r="H33" i="3" s="1"/>
  <c r="F28" i="3"/>
  <c r="I16" i="3"/>
  <c r="I32" i="3" s="1"/>
  <c r="H16" i="3"/>
  <c r="F16" i="3"/>
  <c r="L28" i="2"/>
  <c r="L34" i="2" s="1"/>
  <c r="K28" i="2"/>
  <c r="K34" i="2" s="1"/>
  <c r="J28" i="2"/>
  <c r="I28" i="2"/>
  <c r="I34" i="2" s="1"/>
  <c r="H28" i="2"/>
  <c r="H34" i="2" s="1"/>
  <c r="G28" i="2"/>
  <c r="F28" i="2"/>
  <c r="L16" i="2"/>
  <c r="L33" i="2" s="1"/>
  <c r="K16" i="2"/>
  <c r="J16" i="2"/>
  <c r="I16" i="2"/>
  <c r="I33" i="2" s="1"/>
  <c r="H16" i="2"/>
  <c r="G16" i="2"/>
  <c r="H33" i="2" s="1"/>
  <c r="F16" i="2"/>
  <c r="J28" i="1"/>
  <c r="I28" i="1"/>
  <c r="I34" i="1" s="1"/>
  <c r="H28" i="1"/>
  <c r="G28" i="1"/>
  <c r="F28" i="1"/>
  <c r="L16" i="1"/>
  <c r="K16" i="1"/>
  <c r="K33" i="1" s="1"/>
  <c r="J16" i="1"/>
  <c r="I16" i="1"/>
  <c r="I33" i="1" s="1"/>
  <c r="H16" i="1"/>
  <c r="H33" i="1" s="1"/>
  <c r="G16" i="1"/>
  <c r="F16" i="1"/>
  <c r="L27" i="6"/>
  <c r="I27" i="6"/>
  <c r="F27" i="6"/>
  <c r="I27" i="5"/>
  <c r="L27" i="4"/>
  <c r="F27" i="7" s="1"/>
  <c r="L27" i="3"/>
  <c r="F23" i="9"/>
  <c r="L23" i="6"/>
  <c r="I23" i="6"/>
  <c r="F23" i="6"/>
  <c r="I23" i="5"/>
  <c r="L23" i="4"/>
  <c r="F23" i="7" s="1"/>
  <c r="L23" i="3"/>
  <c r="F19" i="9"/>
  <c r="L19" i="6"/>
  <c r="I19" i="6"/>
  <c r="F19" i="6"/>
  <c r="I19" i="5"/>
  <c r="L19" i="4"/>
  <c r="F19" i="7" s="1"/>
  <c r="L19" i="3"/>
  <c r="L13" i="6"/>
  <c r="I13" i="6"/>
  <c r="F13" i="6"/>
  <c r="L13" i="4"/>
  <c r="F13" i="7" s="1"/>
  <c r="L13" i="3"/>
  <c r="L25" i="6"/>
  <c r="I25" i="6"/>
  <c r="F25" i="6"/>
  <c r="I25" i="5"/>
  <c r="L25" i="4"/>
  <c r="F25" i="7" s="1"/>
  <c r="L25" i="3"/>
  <c r="F25" i="5" s="1"/>
  <c r="F10" i="9"/>
  <c r="L10" i="6"/>
  <c r="I10" i="6"/>
  <c r="F10" i="6"/>
  <c r="I10" i="5"/>
  <c r="L10" i="4"/>
  <c r="F10" i="7" s="1"/>
  <c r="L10" i="3"/>
  <c r="L9" i="6"/>
  <c r="I9" i="6"/>
  <c r="F9" i="6"/>
  <c r="I9" i="5"/>
  <c r="L9" i="4"/>
  <c r="F9" i="5" s="1"/>
  <c r="L5" i="6"/>
  <c r="I5" i="6"/>
  <c r="F5" i="6"/>
  <c r="I5" i="5"/>
  <c r="I16" i="5" s="1"/>
  <c r="L6" i="6"/>
  <c r="I6" i="6"/>
  <c r="F6" i="6"/>
  <c r="I6" i="5"/>
  <c r="L6" i="4"/>
  <c r="L6" i="3"/>
  <c r="L14" i="6"/>
  <c r="I14" i="6"/>
  <c r="F14" i="6"/>
  <c r="I14" i="5"/>
  <c r="L14" i="4"/>
  <c r="F14" i="7" s="1"/>
  <c r="L14" i="3"/>
  <c r="L26" i="6"/>
  <c r="I26" i="6"/>
  <c r="F26" i="6"/>
  <c r="I26" i="5"/>
  <c r="L26" i="4"/>
  <c r="F26" i="7" s="1"/>
  <c r="K26" i="4"/>
  <c r="L26" i="3"/>
  <c r="L18" i="6"/>
  <c r="I18" i="6"/>
  <c r="F18" i="6"/>
  <c r="L7" i="6"/>
  <c r="I7" i="6"/>
  <c r="F7" i="6"/>
  <c r="I7" i="5"/>
  <c r="L7" i="4"/>
  <c r="L7" i="3"/>
  <c r="L21" i="6"/>
  <c r="I21" i="6"/>
  <c r="F21" i="6"/>
  <c r="I21" i="5"/>
  <c r="L21" i="4"/>
  <c r="F21" i="7" s="1"/>
  <c r="L21" i="3"/>
  <c r="L20" i="6"/>
  <c r="I20" i="6"/>
  <c r="F20" i="6"/>
  <c r="I20" i="5"/>
  <c r="L20" i="4"/>
  <c r="F20" i="7" s="1"/>
  <c r="L20" i="3"/>
  <c r="E15" i="9"/>
  <c r="I29" i="5" l="1"/>
  <c r="L33" i="1"/>
  <c r="K34" i="1"/>
  <c r="H29" i="1"/>
  <c r="H34" i="1"/>
  <c r="F10" i="5"/>
  <c r="I33" i="4"/>
  <c r="F5" i="7"/>
  <c r="F24" i="5"/>
  <c r="F7" i="7"/>
  <c r="F27" i="5"/>
  <c r="F23" i="5"/>
  <c r="K29" i="5"/>
  <c r="L33" i="5" s="1"/>
  <c r="L32" i="5"/>
  <c r="J29" i="5"/>
  <c r="K32" i="5"/>
  <c r="F6" i="7"/>
  <c r="F19" i="5"/>
  <c r="F22" i="5"/>
  <c r="F15" i="5"/>
  <c r="F11" i="5"/>
  <c r="L28" i="4"/>
  <c r="F21" i="5"/>
  <c r="I29" i="4"/>
  <c r="F8" i="5"/>
  <c r="F9" i="7"/>
  <c r="F13" i="5"/>
  <c r="F12" i="5"/>
  <c r="L28" i="3"/>
  <c r="L16" i="3"/>
  <c r="G29" i="3"/>
  <c r="H29" i="3"/>
  <c r="G29" i="2"/>
  <c r="J29" i="2"/>
  <c r="K29" i="2"/>
  <c r="K35" i="2" s="1"/>
  <c r="H29" i="2"/>
  <c r="H35" i="2" s="1"/>
  <c r="G29" i="1"/>
  <c r="G30" i="1" s="1"/>
  <c r="L29" i="1"/>
  <c r="F29" i="1"/>
  <c r="J29" i="1"/>
  <c r="J30" i="1" s="1"/>
  <c r="K29" i="1"/>
  <c r="I29" i="1"/>
  <c r="I35" i="1" s="1"/>
  <c r="I29" i="2"/>
  <c r="I35" i="2" s="1"/>
  <c r="F28" i="9"/>
  <c r="L16" i="4"/>
  <c r="F29" i="4"/>
  <c r="I29" i="3"/>
  <c r="F29" i="3"/>
  <c r="L28" i="6"/>
  <c r="L29" i="2"/>
  <c r="F29" i="2"/>
  <c r="F28" i="6"/>
  <c r="I28" i="6"/>
  <c r="F16" i="9"/>
  <c r="L16" i="6"/>
  <c r="I16" i="6"/>
  <c r="F16" i="6"/>
  <c r="K27" i="4"/>
  <c r="K27" i="3"/>
  <c r="G21" i="5"/>
  <c r="G18" i="5"/>
  <c r="K27" i="6"/>
  <c r="K26" i="6"/>
  <c r="K25" i="6"/>
  <c r="K24" i="6"/>
  <c r="K23" i="6"/>
  <c r="K22" i="6"/>
  <c r="K21" i="6"/>
  <c r="K20" i="6"/>
  <c r="K19" i="6"/>
  <c r="K18" i="6"/>
  <c r="H27" i="6"/>
  <c r="H26" i="6"/>
  <c r="H25" i="6"/>
  <c r="H24" i="6"/>
  <c r="H23" i="6"/>
  <c r="H22" i="6"/>
  <c r="H21" i="6"/>
  <c r="H20" i="6"/>
  <c r="H19" i="6"/>
  <c r="H18" i="6"/>
  <c r="E27" i="6"/>
  <c r="E26" i="6"/>
  <c r="E25" i="6"/>
  <c r="E24" i="6"/>
  <c r="E23" i="6"/>
  <c r="E22" i="6"/>
  <c r="E21" i="6"/>
  <c r="E20" i="6"/>
  <c r="E19" i="6"/>
  <c r="E18" i="6"/>
  <c r="K15" i="6"/>
  <c r="K14" i="6"/>
  <c r="K13" i="6"/>
  <c r="K12" i="6"/>
  <c r="K11" i="6"/>
  <c r="K10" i="6"/>
  <c r="K9" i="6"/>
  <c r="K8" i="6"/>
  <c r="K7" i="6"/>
  <c r="K6" i="6"/>
  <c r="K5" i="6"/>
  <c r="H15" i="6"/>
  <c r="H14" i="6"/>
  <c r="H13" i="6"/>
  <c r="H12" i="6"/>
  <c r="H11" i="6"/>
  <c r="H10" i="6"/>
  <c r="H9" i="6"/>
  <c r="H8" i="6"/>
  <c r="H7" i="6"/>
  <c r="H6" i="6"/>
  <c r="H5" i="6"/>
  <c r="E15" i="6"/>
  <c r="E14" i="6"/>
  <c r="E13" i="6"/>
  <c r="E12" i="6"/>
  <c r="E11" i="6"/>
  <c r="E10" i="6"/>
  <c r="E9" i="6"/>
  <c r="E8" i="6"/>
  <c r="E7" i="6"/>
  <c r="E6" i="6"/>
  <c r="E5" i="6"/>
  <c r="H8" i="5"/>
  <c r="K8" i="4"/>
  <c r="K8" i="3"/>
  <c r="H11" i="5"/>
  <c r="K11" i="4"/>
  <c r="K11" i="3"/>
  <c r="E14" i="9"/>
  <c r="E12" i="9"/>
  <c r="E10" i="9"/>
  <c r="E9" i="9"/>
  <c r="E7" i="9"/>
  <c r="E6" i="9"/>
  <c r="E5" i="9"/>
  <c r="D15" i="9"/>
  <c r="D14" i="9"/>
  <c r="D12" i="9"/>
  <c r="D11" i="9"/>
  <c r="D10" i="9"/>
  <c r="D9" i="9"/>
  <c r="D8" i="9"/>
  <c r="D5" i="9"/>
  <c r="D6" i="9"/>
  <c r="D27" i="9"/>
  <c r="D26" i="9"/>
  <c r="D22" i="9"/>
  <c r="D20" i="9"/>
  <c r="D19" i="9"/>
  <c r="E19" i="9"/>
  <c r="E20" i="9"/>
  <c r="E22" i="9"/>
  <c r="E23" i="9"/>
  <c r="E26" i="9"/>
  <c r="E25" i="9"/>
  <c r="E24" i="9"/>
  <c r="D24" i="9"/>
  <c r="D23" i="9"/>
  <c r="H24" i="5"/>
  <c r="K24" i="4"/>
  <c r="K24" i="3"/>
  <c r="E24" i="5" s="1"/>
  <c r="H5" i="5"/>
  <c r="H25" i="5"/>
  <c r="K25" i="4"/>
  <c r="K25" i="3"/>
  <c r="H23" i="5"/>
  <c r="H23" i="4"/>
  <c r="H28" i="4" s="1"/>
  <c r="K23" i="3"/>
  <c r="H22" i="5"/>
  <c r="K22" i="4"/>
  <c r="K22" i="3"/>
  <c r="H19" i="5"/>
  <c r="K19" i="4"/>
  <c r="K19" i="3"/>
  <c r="E28" i="2"/>
  <c r="E28" i="1"/>
  <c r="E28" i="3"/>
  <c r="F33" i="3" s="1"/>
  <c r="E28" i="4"/>
  <c r="F34" i="4" s="1"/>
  <c r="H26" i="5"/>
  <c r="E26" i="7"/>
  <c r="K26" i="3"/>
  <c r="H21" i="5"/>
  <c r="K21" i="4"/>
  <c r="K21" i="3"/>
  <c r="H20" i="5"/>
  <c r="K20" i="4"/>
  <c r="K20" i="3"/>
  <c r="H18" i="5"/>
  <c r="K18" i="4"/>
  <c r="K18" i="3"/>
  <c r="E16" i="3"/>
  <c r="F32" i="3" s="1"/>
  <c r="E16" i="2"/>
  <c r="F33" i="2" s="1"/>
  <c r="E16" i="1"/>
  <c r="H15" i="5"/>
  <c r="E16" i="4"/>
  <c r="F33" i="4" s="1"/>
  <c r="K15" i="4"/>
  <c r="K15" i="3"/>
  <c r="H14" i="5"/>
  <c r="K14" i="4"/>
  <c r="K14" i="3"/>
  <c r="K13" i="4"/>
  <c r="K13" i="3"/>
  <c r="H10" i="5"/>
  <c r="K10" i="4"/>
  <c r="K10" i="3"/>
  <c r="H12" i="5"/>
  <c r="K12" i="4"/>
  <c r="K12" i="3"/>
  <c r="H9" i="5"/>
  <c r="K9" i="4"/>
  <c r="K9" i="3"/>
  <c r="H7" i="5"/>
  <c r="K7" i="4"/>
  <c r="K7" i="3"/>
  <c r="H6" i="5"/>
  <c r="K6" i="4"/>
  <c r="K6" i="3"/>
  <c r="F34" i="3" l="1"/>
  <c r="L29" i="3"/>
  <c r="I34" i="3"/>
  <c r="H34" i="3"/>
  <c r="H16" i="5"/>
  <c r="I31" i="5" s="1"/>
  <c r="H28" i="5"/>
  <c r="H30" i="1"/>
  <c r="K35" i="1"/>
  <c r="K30" i="1"/>
  <c r="L35" i="1"/>
  <c r="F33" i="1"/>
  <c r="E33" i="1"/>
  <c r="H35" i="1"/>
  <c r="F34" i="1"/>
  <c r="E15" i="7"/>
  <c r="E25" i="7"/>
  <c r="E8" i="7"/>
  <c r="E9" i="7"/>
  <c r="E20" i="7"/>
  <c r="E22" i="7"/>
  <c r="E6" i="7"/>
  <c r="E27" i="7"/>
  <c r="E24" i="7"/>
  <c r="E21" i="7"/>
  <c r="E12" i="7"/>
  <c r="E14" i="7"/>
  <c r="H29" i="4"/>
  <c r="E11" i="7"/>
  <c r="I35" i="4"/>
  <c r="E10" i="7"/>
  <c r="E13" i="7"/>
  <c r="E7" i="7"/>
  <c r="E19" i="7"/>
  <c r="E8" i="5"/>
  <c r="I34" i="4"/>
  <c r="L35" i="2"/>
  <c r="F16" i="5"/>
  <c r="F28" i="5"/>
  <c r="K33" i="5"/>
  <c r="F34" i="2"/>
  <c r="F35" i="2"/>
  <c r="L29" i="4"/>
  <c r="F29" i="7" s="1"/>
  <c r="F28" i="7"/>
  <c r="E15" i="5"/>
  <c r="E18" i="7"/>
  <c r="E5" i="7"/>
  <c r="K16" i="4"/>
  <c r="K16" i="3"/>
  <c r="L32" i="3" s="1"/>
  <c r="K28" i="3"/>
  <c r="F16" i="7"/>
  <c r="F29" i="9"/>
  <c r="L29" i="6"/>
  <c r="F29" i="6"/>
  <c r="I29" i="6"/>
  <c r="E13" i="5"/>
  <c r="E25" i="5"/>
  <c r="E22" i="5"/>
  <c r="E27" i="5"/>
  <c r="E21" i="5"/>
  <c r="E19" i="5"/>
  <c r="E18" i="5"/>
  <c r="K23" i="4"/>
  <c r="K16" i="6"/>
  <c r="E16" i="9"/>
  <c r="H16" i="6"/>
  <c r="H28" i="6"/>
  <c r="E16" i="6"/>
  <c r="E28" i="6"/>
  <c r="E29" i="2"/>
  <c r="E28" i="9"/>
  <c r="K28" i="6"/>
  <c r="E29" i="4"/>
  <c r="F35" i="4" s="1"/>
  <c r="E29" i="3"/>
  <c r="E29" i="1"/>
  <c r="J27" i="6"/>
  <c r="J26" i="6"/>
  <c r="J25" i="6"/>
  <c r="J24" i="6"/>
  <c r="J23" i="6"/>
  <c r="J22" i="6"/>
  <c r="J21" i="6"/>
  <c r="J20" i="6"/>
  <c r="J19" i="6"/>
  <c r="J18" i="6"/>
  <c r="G27" i="6"/>
  <c r="G26" i="6"/>
  <c r="G25" i="6"/>
  <c r="G24" i="6"/>
  <c r="G23" i="6"/>
  <c r="G22" i="6"/>
  <c r="G21" i="6"/>
  <c r="G20" i="6"/>
  <c r="G19" i="6"/>
  <c r="G18" i="6"/>
  <c r="D27" i="6"/>
  <c r="D26" i="6"/>
  <c r="D25" i="6"/>
  <c r="D24" i="6"/>
  <c r="D23" i="6"/>
  <c r="D22" i="6"/>
  <c r="D21" i="6"/>
  <c r="D20" i="6"/>
  <c r="D19" i="6"/>
  <c r="D18" i="6"/>
  <c r="J15" i="6"/>
  <c r="J14" i="6"/>
  <c r="J13" i="6"/>
  <c r="J12" i="6"/>
  <c r="J11" i="6"/>
  <c r="J10" i="6"/>
  <c r="J9" i="6"/>
  <c r="J8" i="6"/>
  <c r="J7" i="6"/>
  <c r="J6" i="6"/>
  <c r="J5" i="6"/>
  <c r="G15" i="6"/>
  <c r="G14" i="6"/>
  <c r="G13" i="6"/>
  <c r="G12" i="6"/>
  <c r="G11" i="6"/>
  <c r="G10" i="6"/>
  <c r="G9" i="6"/>
  <c r="G8" i="6"/>
  <c r="G7" i="6"/>
  <c r="G6" i="6"/>
  <c r="G5" i="6"/>
  <c r="D15" i="6"/>
  <c r="D14" i="6"/>
  <c r="D13" i="6"/>
  <c r="D12" i="6"/>
  <c r="D11" i="6"/>
  <c r="D10" i="6"/>
  <c r="D9" i="6"/>
  <c r="D8" i="6"/>
  <c r="D7" i="6"/>
  <c r="D6" i="6"/>
  <c r="D5" i="6"/>
  <c r="D25" i="9"/>
  <c r="D7" i="9"/>
  <c r="L33" i="3" l="1"/>
  <c r="H29" i="5"/>
  <c r="I32" i="5"/>
  <c r="F35" i="1"/>
  <c r="E23" i="5"/>
  <c r="E28" i="5" s="1"/>
  <c r="L33" i="4"/>
  <c r="F29" i="5"/>
  <c r="E16" i="5"/>
  <c r="F31" i="5" s="1"/>
  <c r="K29" i="3"/>
  <c r="L34" i="3" s="1"/>
  <c r="E23" i="7"/>
  <c r="K28" i="4"/>
  <c r="E16" i="7"/>
  <c r="K29" i="6"/>
  <c r="E29" i="9"/>
  <c r="H29" i="6"/>
  <c r="E29" i="6"/>
  <c r="G24" i="5"/>
  <c r="J24" i="4"/>
  <c r="J24" i="3"/>
  <c r="G5" i="5"/>
  <c r="G27" i="5"/>
  <c r="J27" i="4"/>
  <c r="J27" i="3"/>
  <c r="J10" i="4"/>
  <c r="J10" i="3"/>
  <c r="G23" i="5"/>
  <c r="G23" i="4"/>
  <c r="G28" i="4" s="1"/>
  <c r="J23" i="3"/>
  <c r="J21" i="4"/>
  <c r="J21" i="3"/>
  <c r="G6" i="5"/>
  <c r="J6" i="4"/>
  <c r="D28" i="4"/>
  <c r="E34" i="4" s="1"/>
  <c r="D28" i="3"/>
  <c r="E33" i="3" s="1"/>
  <c r="D28" i="2"/>
  <c r="E34" i="2" s="1"/>
  <c r="D16" i="2"/>
  <c r="E33" i="2" s="1"/>
  <c r="D28" i="1"/>
  <c r="E34" i="1" s="1"/>
  <c r="G15" i="5"/>
  <c r="J15" i="4"/>
  <c r="J15" i="3"/>
  <c r="G14" i="5"/>
  <c r="J14" i="4"/>
  <c r="J13" i="4"/>
  <c r="J13" i="3"/>
  <c r="G12" i="5"/>
  <c r="J12" i="4"/>
  <c r="J12" i="3"/>
  <c r="G11" i="5"/>
  <c r="J11" i="4"/>
  <c r="J11" i="3"/>
  <c r="G22" i="5"/>
  <c r="J22" i="4"/>
  <c r="J22" i="3"/>
  <c r="G26" i="5"/>
  <c r="J26" i="4"/>
  <c r="J26" i="3"/>
  <c r="G20" i="5"/>
  <c r="J20" i="4"/>
  <c r="J20" i="3"/>
  <c r="G9" i="5"/>
  <c r="J9" i="4"/>
  <c r="J9" i="3"/>
  <c r="G8" i="5"/>
  <c r="J8" i="4"/>
  <c r="J8" i="3"/>
  <c r="J7" i="4"/>
  <c r="J7" i="3"/>
  <c r="G19" i="5"/>
  <c r="J19" i="4"/>
  <c r="J19" i="3"/>
  <c r="G25" i="5"/>
  <c r="J25" i="4"/>
  <c r="J18" i="4"/>
  <c r="J18" i="3"/>
  <c r="J16" i="3" l="1"/>
  <c r="G28" i="5"/>
  <c r="G16" i="5"/>
  <c r="H31" i="5" s="1"/>
  <c r="D6" i="7"/>
  <c r="J16" i="4"/>
  <c r="G29" i="4"/>
  <c r="H35" i="4" s="1"/>
  <c r="H34" i="4"/>
  <c r="D25" i="7"/>
  <c r="D8" i="7"/>
  <c r="D10" i="7"/>
  <c r="L34" i="4"/>
  <c r="D27" i="7"/>
  <c r="D9" i="7"/>
  <c r="D21" i="7"/>
  <c r="D13" i="7"/>
  <c r="D26" i="7"/>
  <c r="D15" i="7"/>
  <c r="D12" i="7"/>
  <c r="D19" i="7"/>
  <c r="D22" i="7"/>
  <c r="D20" i="7"/>
  <c r="D14" i="7"/>
  <c r="D11" i="7"/>
  <c r="E29" i="5"/>
  <c r="F33" i="5" s="1"/>
  <c r="F32" i="5"/>
  <c r="I33" i="5"/>
  <c r="D29" i="4"/>
  <c r="E35" i="4" s="1"/>
  <c r="E32" i="3"/>
  <c r="D5" i="7"/>
  <c r="K33" i="4"/>
  <c r="D18" i="7"/>
  <c r="K29" i="4"/>
  <c r="L35" i="4" s="1"/>
  <c r="J28" i="3"/>
  <c r="K33" i="3" s="1"/>
  <c r="D29" i="1"/>
  <c r="E28" i="7"/>
  <c r="J23" i="4"/>
  <c r="D29" i="3"/>
  <c r="D29" i="2"/>
  <c r="E35" i="2" s="1"/>
  <c r="D7" i="7"/>
  <c r="D24" i="7"/>
  <c r="D28" i="9"/>
  <c r="J16" i="6"/>
  <c r="D15" i="5"/>
  <c r="D27" i="5"/>
  <c r="J28" i="6"/>
  <c r="D13" i="5"/>
  <c r="D19" i="5"/>
  <c r="D21" i="5"/>
  <c r="G28" i="6"/>
  <c r="G16" i="6"/>
  <c r="D28" i="6"/>
  <c r="D16" i="6"/>
  <c r="D16" i="9"/>
  <c r="D18" i="5"/>
  <c r="G29" i="5" l="1"/>
  <c r="H33" i="5" s="1"/>
  <c r="H32" i="5"/>
  <c r="E35" i="1"/>
  <c r="D30" i="1"/>
  <c r="E30" i="1"/>
  <c r="D23" i="7"/>
  <c r="D16" i="5"/>
  <c r="E34" i="3"/>
  <c r="K32" i="3"/>
  <c r="D16" i="7"/>
  <c r="J28" i="4"/>
  <c r="E29" i="7"/>
  <c r="J29" i="3"/>
  <c r="D23" i="5"/>
  <c r="J29" i="6"/>
  <c r="G29" i="6"/>
  <c r="D29" i="9"/>
  <c r="D29" i="6"/>
  <c r="K34" i="4" l="1"/>
  <c r="E31" i="5"/>
  <c r="D28" i="5"/>
  <c r="K34" i="3"/>
  <c r="J29" i="4"/>
  <c r="K35" i="4" s="1"/>
  <c r="D28" i="7"/>
  <c r="D29" i="5" l="1"/>
  <c r="E32" i="5"/>
  <c r="D29" i="7"/>
  <c r="E33" i="5" l="1"/>
</calcChain>
</file>

<file path=xl/sharedStrings.xml><?xml version="1.0" encoding="utf-8"?>
<sst xmlns="http://schemas.openxmlformats.org/spreadsheetml/2006/main" count="301" uniqueCount="86">
  <si>
    <t>As on March 31</t>
  </si>
  <si>
    <t>(₹ Crore)</t>
  </si>
  <si>
    <t>I</t>
  </si>
  <si>
    <t>II</t>
  </si>
  <si>
    <t>Banks</t>
  </si>
  <si>
    <t>Interest Income</t>
  </si>
  <si>
    <t>Other Income</t>
  </si>
  <si>
    <t>Credit Deposit Ratio</t>
  </si>
  <si>
    <t>Investment Deposit Ratio</t>
  </si>
  <si>
    <t>City Union Bank Ltd.</t>
  </si>
  <si>
    <t>Tamilnad Mercantile Bank Ltd.</t>
  </si>
  <si>
    <t>Dhanlaxmi Bank Ltd</t>
  </si>
  <si>
    <t>The Federal Bank Ltd.</t>
  </si>
  <si>
    <t>The Jammu &amp; Kashmir Bank Ltd.</t>
  </si>
  <si>
    <t>The Karnataka Bank Ltd.</t>
  </si>
  <si>
    <t>The Karur Vysya Bank Ltd.</t>
  </si>
  <si>
    <t>Nainital Bank Ltd.</t>
  </si>
  <si>
    <t>The South Indian Bank Ltd.</t>
  </si>
  <si>
    <t>NEW PRIVATE SECTOR BANKS</t>
  </si>
  <si>
    <t>Axis Bank Ltd.</t>
  </si>
  <si>
    <t xml:space="preserve">HDFC Bank Ltd. </t>
  </si>
  <si>
    <t>ICICI Bank Ltd.</t>
  </si>
  <si>
    <t>Indusind Bank Ltd.</t>
  </si>
  <si>
    <t>Kotak Mahindra Bank Ltd.</t>
  </si>
  <si>
    <t>YES Bank</t>
  </si>
  <si>
    <t>S.No</t>
  </si>
  <si>
    <t>RBL Bank</t>
  </si>
  <si>
    <t>(In Per cent)</t>
  </si>
  <si>
    <t>Provisions &amp; Contingencies</t>
  </si>
  <si>
    <t>Bandhan Bank</t>
  </si>
  <si>
    <t xml:space="preserve">Tamilnad Mercantile Bank Ltd. </t>
  </si>
  <si>
    <t>Spread as % of Assets</t>
  </si>
  <si>
    <t>Profit per Employee</t>
  </si>
  <si>
    <t>DCB Bank Ltd.</t>
  </si>
  <si>
    <t>Total Assets</t>
  </si>
  <si>
    <t>Gross NPA</t>
  </si>
  <si>
    <t>Total Income</t>
  </si>
  <si>
    <t>Operating Expenses</t>
  </si>
  <si>
    <t>Total Expenditure *</t>
  </si>
  <si>
    <t>Interest Expended</t>
  </si>
  <si>
    <t>Operating Profit</t>
  </si>
  <si>
    <t>Net Profit</t>
  </si>
  <si>
    <t>Net NPA as % to Net Advances</t>
  </si>
  <si>
    <t>Net NPA</t>
  </si>
  <si>
    <t>IDBI Ltd.</t>
  </si>
  <si>
    <t>TOTAL OF PVT BANKS [I+II]</t>
  </si>
  <si>
    <t>TOTAL OF NEW PVT BANKS [II]</t>
  </si>
  <si>
    <r>
      <t xml:space="preserve">          </t>
    </r>
    <r>
      <rPr>
        <b/>
        <sz val="16"/>
        <rFont val="Arial Narrow"/>
        <family val="2"/>
      </rPr>
      <t>Statement III : Private  Sector Banks : Income</t>
    </r>
  </si>
  <si>
    <r>
      <t xml:space="preserve">          </t>
    </r>
    <r>
      <rPr>
        <b/>
        <sz val="16"/>
        <rFont val="Arial Narrow"/>
        <family val="2"/>
      </rPr>
      <t>Statement V : Private  Sector Banks : Profit</t>
    </r>
  </si>
  <si>
    <t xml:space="preserve">IDFC First Bank Ltd. </t>
  </si>
  <si>
    <r>
      <t xml:space="preserve">          </t>
    </r>
    <r>
      <rPr>
        <b/>
        <sz val="16"/>
        <rFont val="Arial Narrow"/>
        <family val="2"/>
      </rPr>
      <t>Statement VI : Private Sector Banks : Ratios</t>
    </r>
  </si>
  <si>
    <r>
      <t xml:space="preserve">          </t>
    </r>
    <r>
      <rPr>
        <b/>
        <sz val="16"/>
        <rFont val="Arial Narrow"/>
        <family val="2"/>
      </rPr>
      <t>Statement VII : Private  Sector Banks : Ratios</t>
    </r>
  </si>
  <si>
    <t xml:space="preserve">Indusind Bank Ltd. </t>
  </si>
  <si>
    <t xml:space="preserve">The Jammu &amp; Kashmir Bank Ltd. </t>
  </si>
  <si>
    <t>Statement I : Private  Sector Banks : Deposits/Investments/Advances</t>
  </si>
  <si>
    <t>Statement II : Private  Sector Banks : Assets/Gross and Net Non-Performing  Assets</t>
  </si>
  <si>
    <r>
      <t xml:space="preserve">          </t>
    </r>
    <r>
      <rPr>
        <b/>
        <sz val="16"/>
        <rFont val="Arial Narrow"/>
        <family val="2"/>
      </rPr>
      <t>Statement VIII : Private Sector Banks : Ratios</t>
    </r>
  </si>
  <si>
    <t>Nainital Bank Ltd.  *</t>
  </si>
  <si>
    <t xml:space="preserve">Nainital Bank Ltd. </t>
  </si>
  <si>
    <t>Deposits</t>
  </si>
  <si>
    <t>Investments</t>
  </si>
  <si>
    <t>Advances</t>
  </si>
  <si>
    <t>TOTAL OF OLD PVT BANKS [I]</t>
  </si>
  <si>
    <t>AVERAGE OF OLD PVT BANKS [I]</t>
  </si>
  <si>
    <t>(In Per Cent)</t>
  </si>
  <si>
    <t>Return on Assets (%)</t>
  </si>
  <si>
    <t>Capital Adequacy Ratio -  Basel III (%)</t>
  </si>
  <si>
    <t>Business per Employee</t>
  </si>
  <si>
    <r>
      <t xml:space="preserve">          </t>
    </r>
    <r>
      <rPr>
        <b/>
        <sz val="16"/>
        <rFont val="Arial Narrow"/>
        <family val="2"/>
      </rPr>
      <t>Statement IV : Private Sector Banks : Expenditure</t>
    </r>
  </si>
  <si>
    <t>AVERAGE OF NEW PVT BANKS [II]</t>
  </si>
  <si>
    <t>AVERAGE OF PVT BANKS [I+II]</t>
  </si>
  <si>
    <t>OLD PRIVATE SECTOR BANKS</t>
  </si>
  <si>
    <t>CSB Bank Ltd.</t>
  </si>
  <si>
    <t>(₹ Lacs)</t>
  </si>
  <si>
    <t>* Excludes provisions &amp; contingencies.</t>
  </si>
  <si>
    <t>* Gross NPA amount excludes interest suspense amount.</t>
  </si>
  <si>
    <t>Operating Expenses as % to Total Expenses</t>
  </si>
  <si>
    <t>Provisioning Coverage Ratio</t>
  </si>
  <si>
    <t>: 3 :</t>
  </si>
  <si>
    <t>: 2 :</t>
  </si>
  <si>
    <t>: 1 :</t>
  </si>
  <si>
    <t>: 4 :</t>
  </si>
  <si>
    <t>: 5 :</t>
  </si>
  <si>
    <t>: 6 :</t>
  </si>
  <si>
    <t>: 7 :</t>
  </si>
  <si>
    <t>: 8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</si>
</sst>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_);\(0.00\)"/>
    <numFmt numFmtId="166" formatCode="#,##0;[Red]#,##0"/>
    <numFmt numFmtId="167" formatCode="_ * #,##0_ ;_ * \-#,##0_ ;_ * &quot;-&quot;??_ ;_ @_ "/>
    <numFmt numFmtId="168" formatCode="0.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indexed="8"/>
      <name val="Arial Narrow"/>
      <family val="2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Book Antiqua"/>
      <family val="1"/>
    </font>
    <font>
      <sz val="11"/>
      <color indexed="8"/>
      <name val="Calibri"/>
      <family val="2"/>
    </font>
    <font>
      <sz val="16"/>
      <name val="Arial Narrow"/>
      <family val="2"/>
    </font>
    <font>
      <b/>
      <sz val="16"/>
      <name val="Arial Narrow"/>
      <family val="2"/>
    </font>
    <font>
      <b/>
      <i/>
      <sz val="12"/>
      <name val="Arial Narrow"/>
      <family val="2"/>
    </font>
    <font>
      <sz val="16"/>
      <color theme="1"/>
      <name val="Arial Narrow"/>
      <family val="2"/>
    </font>
    <font>
      <b/>
      <sz val="13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1"/>
      <name val="Arial Narrow"/>
      <family val="2"/>
    </font>
    <font>
      <b/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2" fillId="0" borderId="0" applyFill="0" applyBorder="0"/>
    <xf numFmtId="164" fontId="2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3" fillId="0" borderId="0"/>
    <xf numFmtId="0" fontId="4" fillId="0" borderId="0" applyFill="0" applyBorder="0"/>
    <xf numFmtId="164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" fillId="0" borderId="0" applyFill="0" applyBorder="0"/>
    <xf numFmtId="164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7" applyNumberFormat="0" applyAlignment="0" applyProtection="0"/>
    <xf numFmtId="0" fontId="20" fillId="7" borderId="8" applyNumberFormat="0" applyAlignment="0" applyProtection="0"/>
    <xf numFmtId="0" fontId="21" fillId="7" borderId="7" applyNumberFormat="0" applyAlignment="0" applyProtection="0"/>
    <xf numFmtId="0" fontId="22" fillId="0" borderId="9" applyNumberFormat="0" applyFill="0" applyAlignment="0" applyProtection="0"/>
    <xf numFmtId="0" fontId="23" fillId="8" borderId="10" applyNumberFormat="0" applyAlignment="0" applyProtection="0"/>
    <xf numFmtId="0" fontId="24" fillId="0" borderId="0" applyNumberFormat="0" applyFill="0" applyBorder="0" applyAlignment="0" applyProtection="0"/>
    <xf numFmtId="0" fontId="10" fillId="9" borderId="11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2" fillId="0" borderId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9" borderId="11" applyNumberFormat="0" applyFont="0" applyAlignment="0" applyProtection="0"/>
    <xf numFmtId="0" fontId="28" fillId="9" borderId="11" applyNumberFormat="0" applyFont="0" applyAlignment="0" applyProtection="0"/>
    <xf numFmtId="0" fontId="28" fillId="9" borderId="11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96">
    <xf numFmtId="0" fontId="0" fillId="0" borderId="0" xfId="0"/>
    <xf numFmtId="3" fontId="5" fillId="0" borderId="0" xfId="0" applyNumberFormat="1" applyFont="1" applyAlignment="1">
      <alignment horizontal="right" vertical="center"/>
    </xf>
    <xf numFmtId="0" fontId="6" fillId="0" borderId="0" xfId="4" applyFont="1" applyAlignment="1">
      <alignment vertical="center" wrapText="1"/>
    </xf>
    <xf numFmtId="0" fontId="5" fillId="0" borderId="0" xfId="4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5" fillId="0" borderId="0" xfId="4" applyFont="1" applyAlignment="1">
      <alignment vertical="center"/>
    </xf>
    <xf numFmtId="0" fontId="5" fillId="0" borderId="0" xfId="4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6" fillId="0" borderId="0" xfId="4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31" fillId="0" borderId="0" xfId="4" applyFont="1" applyAlignment="1">
      <alignment vertical="center"/>
    </xf>
    <xf numFmtId="0" fontId="3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2" fontId="7" fillId="2" borderId="0" xfId="0" applyNumberFormat="1" applyFont="1" applyFill="1" applyAlignment="1">
      <alignment vertical="center"/>
    </xf>
    <xf numFmtId="2" fontId="8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3" fontId="5" fillId="0" borderId="0" xfId="4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4" fontId="5" fillId="0" borderId="0" xfId="0" applyNumberFormat="1" applyFont="1" applyAlignment="1">
      <alignment horizontal="right" vertical="center"/>
    </xf>
    <xf numFmtId="3" fontId="6" fillId="0" borderId="0" xfId="4" applyNumberFormat="1" applyFont="1" applyAlignment="1">
      <alignment horizontal="right" vertical="center"/>
    </xf>
    <xf numFmtId="2" fontId="7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right" vertical="center" wrapText="1"/>
    </xf>
    <xf numFmtId="4" fontId="8" fillId="0" borderId="0" xfId="0" applyNumberFormat="1" applyFont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5" fillId="0" borderId="25" xfId="4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9" fillId="0" borderId="18" xfId="4" applyFont="1" applyBorder="1" applyAlignment="1">
      <alignment horizontal="center" vertical="center"/>
    </xf>
    <xf numFmtId="0" fontId="9" fillId="2" borderId="18" xfId="4" applyFont="1" applyFill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4" fontId="5" fillId="0" borderId="3" xfId="0" applyNumberFormat="1" applyFont="1" applyBorder="1" applyAlignment="1">
      <alignment horizontal="right" vertical="center"/>
    </xf>
    <xf numFmtId="4" fontId="6" fillId="0" borderId="21" xfId="0" applyNumberFormat="1" applyFont="1" applyBorder="1" applyAlignment="1">
      <alignment horizontal="right" vertical="center"/>
    </xf>
    <xf numFmtId="4" fontId="7" fillId="0" borderId="3" xfId="0" applyNumberFormat="1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4" fontId="8" fillId="0" borderId="21" xfId="0" applyNumberFormat="1" applyFont="1" applyBorder="1" applyAlignment="1">
      <alignment vertical="center"/>
    </xf>
    <xf numFmtId="4" fontId="5" fillId="0" borderId="2" xfId="0" applyNumberFormat="1" applyFont="1" applyBorder="1" applyAlignment="1">
      <alignment horizontal="right" vertical="center"/>
    </xf>
    <xf numFmtId="4" fontId="7" fillId="0" borderId="2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2" fontId="7" fillId="0" borderId="2" xfId="0" applyNumberFormat="1" applyFont="1" applyBorder="1" applyAlignment="1">
      <alignment vertical="center"/>
    </xf>
    <xf numFmtId="0" fontId="6" fillId="0" borderId="28" xfId="4" applyFont="1" applyBorder="1" applyAlignment="1">
      <alignment horizontal="center" vertical="center"/>
    </xf>
    <xf numFmtId="0" fontId="5" fillId="2" borderId="18" xfId="4" applyFont="1" applyFill="1" applyBorder="1" applyAlignment="1">
      <alignment horizontal="center" vertical="center"/>
    </xf>
    <xf numFmtId="0" fontId="8" fillId="0" borderId="0" xfId="0" quotePrefix="1" applyFont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4" fontId="7" fillId="0" borderId="21" xfId="0" applyNumberFormat="1" applyFont="1" applyBorder="1" applyAlignment="1">
      <alignment horizontal="center" vertical="center"/>
    </xf>
    <xf numFmtId="4" fontId="11" fillId="0" borderId="0" xfId="0" applyNumberFormat="1" applyFont="1" applyAlignment="1">
      <alignment vertical="center"/>
    </xf>
    <xf numFmtId="4" fontId="6" fillId="0" borderId="29" xfId="0" applyNumberFormat="1" applyFont="1" applyBorder="1" applyAlignment="1">
      <alignment horizontal="right" vertical="center"/>
    </xf>
    <xf numFmtId="4" fontId="8" fillId="0" borderId="29" xfId="0" applyNumberFormat="1" applyFont="1" applyBorder="1" applyAlignment="1">
      <alignment vertical="center"/>
    </xf>
    <xf numFmtId="4" fontId="5" fillId="0" borderId="26" xfId="0" applyNumberFormat="1" applyFont="1" applyBorder="1" applyAlignment="1">
      <alignment horizontal="right" vertical="center"/>
    </xf>
    <xf numFmtId="0" fontId="7" fillId="0" borderId="24" xfId="0" applyFont="1" applyBorder="1" applyAlignment="1">
      <alignment vertical="center"/>
    </xf>
    <xf numFmtId="0" fontId="6" fillId="0" borderId="35" xfId="4" applyFont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4" fontId="7" fillId="0" borderId="26" xfId="0" applyNumberFormat="1" applyFont="1" applyBorder="1" applyAlignment="1">
      <alignment vertical="center"/>
    </xf>
    <xf numFmtId="2" fontId="7" fillId="0" borderId="3" xfId="0" applyNumberFormat="1" applyFont="1" applyBorder="1" applyAlignment="1">
      <alignment vertical="center"/>
    </xf>
    <xf numFmtId="2" fontId="7" fillId="0" borderId="26" xfId="0" applyNumberFormat="1" applyFont="1" applyBorder="1" applyAlignment="1">
      <alignment vertical="center"/>
    </xf>
    <xf numFmtId="2" fontId="7" fillId="0" borderId="19" xfId="0" applyNumberFormat="1" applyFont="1" applyBorder="1" applyAlignment="1">
      <alignment vertical="center"/>
    </xf>
    <xf numFmtId="3" fontId="5" fillId="0" borderId="2" xfId="7" applyNumberFormat="1" applyFont="1" applyBorder="1" applyAlignment="1">
      <alignment horizontal="right" vertical="center"/>
    </xf>
    <xf numFmtId="3" fontId="7" fillId="0" borderId="2" xfId="7" applyNumberFormat="1" applyFont="1" applyBorder="1" applyAlignment="1">
      <alignment vertical="center"/>
    </xf>
    <xf numFmtId="3" fontId="5" fillId="2" borderId="1" xfId="7" applyNumberFormat="1" applyFont="1" applyFill="1" applyBorder="1" applyAlignment="1">
      <alignment horizontal="right" vertical="center"/>
    </xf>
    <xf numFmtId="3" fontId="7" fillId="0" borderId="1" xfId="7" applyNumberFormat="1" applyFont="1" applyBorder="1" applyAlignment="1">
      <alignment vertical="center"/>
    </xf>
    <xf numFmtId="3" fontId="5" fillId="0" borderId="1" xfId="7" applyNumberFormat="1" applyFont="1" applyBorder="1" applyAlignment="1">
      <alignment horizontal="right" vertical="center"/>
    </xf>
    <xf numFmtId="3" fontId="5" fillId="0" borderId="3" xfId="7" applyNumberFormat="1" applyFont="1" applyBorder="1" applyAlignment="1">
      <alignment horizontal="right" vertical="center"/>
    </xf>
    <xf numFmtId="3" fontId="7" fillId="0" borderId="3" xfId="7" applyNumberFormat="1" applyFont="1" applyBorder="1" applyAlignment="1">
      <alignment vertical="center"/>
    </xf>
    <xf numFmtId="3" fontId="6" fillId="0" borderId="21" xfId="7" applyNumberFormat="1" applyFont="1" applyBorder="1" applyAlignment="1">
      <alignment horizontal="right" vertical="center"/>
    </xf>
    <xf numFmtId="3" fontId="5" fillId="0" borderId="26" xfId="7" applyNumberFormat="1" applyFont="1" applyBorder="1" applyAlignment="1">
      <alignment horizontal="right" vertical="center"/>
    </xf>
    <xf numFmtId="3" fontId="7" fillId="0" borderId="26" xfId="7" applyNumberFormat="1" applyFont="1" applyBorder="1" applyAlignment="1">
      <alignment vertical="center"/>
    </xf>
    <xf numFmtId="3" fontId="6" fillId="0" borderId="29" xfId="7" applyNumberFormat="1" applyFont="1" applyBorder="1" applyAlignment="1">
      <alignment horizontal="right" vertical="center"/>
    </xf>
    <xf numFmtId="3" fontId="7" fillId="0" borderId="1" xfId="7" applyNumberFormat="1" applyFont="1" applyFill="1" applyBorder="1" applyAlignment="1">
      <alignment vertical="center"/>
    </xf>
    <xf numFmtId="3" fontId="7" fillId="0" borderId="19" xfId="7" applyNumberFormat="1" applyFont="1" applyFill="1" applyBorder="1" applyAlignment="1">
      <alignment vertical="center"/>
    </xf>
    <xf numFmtId="3" fontId="5" fillId="0" borderId="1" xfId="7" applyNumberFormat="1" applyFont="1" applyFill="1" applyBorder="1" applyAlignment="1">
      <alignment vertical="center"/>
    </xf>
    <xf numFmtId="0" fontId="6" fillId="0" borderId="29" xfId="4" applyFont="1" applyBorder="1" applyAlignment="1">
      <alignment horizontal="center" vertical="center"/>
    </xf>
    <xf numFmtId="0" fontId="6" fillId="0" borderId="30" xfId="1" applyFont="1" applyFill="1" applyBorder="1" applyAlignment="1">
      <alignment horizontal="center" vertical="center"/>
    </xf>
    <xf numFmtId="0" fontId="8" fillId="0" borderId="0" xfId="0" quotePrefix="1" applyFont="1" applyAlignment="1">
      <alignment vertical="center" wrapText="1"/>
    </xf>
    <xf numFmtId="2" fontId="7" fillId="0" borderId="0" xfId="0" quotePrefix="1" applyNumberFormat="1" applyFont="1" applyAlignment="1">
      <alignment vertical="center" wrapText="1"/>
    </xf>
    <xf numFmtId="0" fontId="6" fillId="0" borderId="29" xfId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4" fontId="7" fillId="0" borderId="2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" fontId="7" fillId="0" borderId="3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2" fontId="6" fillId="0" borderId="21" xfId="0" applyNumberFormat="1" applyFont="1" applyBorder="1" applyAlignment="1">
      <alignment horizontal="right" vertical="center"/>
    </xf>
    <xf numFmtId="4" fontId="8" fillId="0" borderId="21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2" fontId="5" fillId="0" borderId="3" xfId="0" applyNumberFormat="1" applyFont="1" applyBorder="1" applyAlignment="1">
      <alignment horizontal="right" vertical="center"/>
    </xf>
    <xf numFmtId="3" fontId="5" fillId="0" borderId="2" xfId="7" applyNumberFormat="1" applyFont="1" applyFill="1" applyBorder="1" applyAlignment="1">
      <alignment horizontal="right" vertical="center"/>
    </xf>
    <xf numFmtId="3" fontId="7" fillId="0" borderId="2" xfId="7" applyNumberFormat="1" applyFont="1" applyFill="1" applyBorder="1" applyAlignment="1">
      <alignment vertical="center"/>
    </xf>
    <xf numFmtId="3" fontId="7" fillId="0" borderId="24" xfId="7" applyNumberFormat="1" applyFont="1" applyFill="1" applyBorder="1" applyAlignment="1">
      <alignment vertical="center"/>
    </xf>
    <xf numFmtId="3" fontId="5" fillId="0" borderId="1" xfId="7" applyNumberFormat="1" applyFont="1" applyFill="1" applyBorder="1" applyAlignment="1">
      <alignment horizontal="right" vertical="center"/>
    </xf>
    <xf numFmtId="3" fontId="5" fillId="0" borderId="3" xfId="7" applyNumberFormat="1" applyFont="1" applyFill="1" applyBorder="1" applyAlignment="1">
      <alignment horizontal="right" vertical="center"/>
    </xf>
    <xf numFmtId="3" fontId="7" fillId="0" borderId="3" xfId="7" applyNumberFormat="1" applyFont="1" applyFill="1" applyBorder="1" applyAlignment="1">
      <alignment vertical="center"/>
    </xf>
    <xf numFmtId="3" fontId="7" fillId="0" borderId="17" xfId="7" applyNumberFormat="1" applyFont="1" applyFill="1" applyBorder="1" applyAlignment="1">
      <alignment vertical="center"/>
    </xf>
    <xf numFmtId="3" fontId="6" fillId="0" borderId="21" xfId="7" applyNumberFormat="1" applyFont="1" applyFill="1" applyBorder="1" applyAlignment="1">
      <alignment horizontal="right" vertical="center"/>
    </xf>
    <xf numFmtId="3" fontId="6" fillId="0" borderId="22" xfId="7" applyNumberFormat="1" applyFont="1" applyFill="1" applyBorder="1" applyAlignment="1">
      <alignment horizontal="right" vertical="center"/>
    </xf>
    <xf numFmtId="3" fontId="7" fillId="0" borderId="26" xfId="7" applyNumberFormat="1" applyFont="1" applyFill="1" applyBorder="1" applyAlignment="1">
      <alignment vertical="center"/>
    </xf>
    <xf numFmtId="3" fontId="7" fillId="0" borderId="27" xfId="7" applyNumberFormat="1" applyFont="1" applyFill="1" applyBorder="1" applyAlignment="1">
      <alignment vertical="center"/>
    </xf>
    <xf numFmtId="3" fontId="7" fillId="0" borderId="15" xfId="7" applyNumberFormat="1" applyFont="1" applyFill="1" applyBorder="1" applyAlignment="1">
      <alignment vertical="center"/>
    </xf>
    <xf numFmtId="3" fontId="7" fillId="0" borderId="16" xfId="7" applyNumberFormat="1" applyFont="1" applyFill="1" applyBorder="1" applyAlignment="1">
      <alignment vertical="center"/>
    </xf>
    <xf numFmtId="3" fontId="6" fillId="0" borderId="29" xfId="7" applyNumberFormat="1" applyFont="1" applyFill="1" applyBorder="1" applyAlignment="1">
      <alignment horizontal="right" vertical="center"/>
    </xf>
    <xf numFmtId="3" fontId="6" fillId="0" borderId="30" xfId="7" applyNumberFormat="1" applyFont="1" applyFill="1" applyBorder="1" applyAlignment="1">
      <alignment horizontal="right" vertical="center"/>
    </xf>
    <xf numFmtId="3" fontId="5" fillId="0" borderId="2" xfId="7" applyNumberFormat="1" applyFont="1" applyFill="1" applyBorder="1" applyAlignment="1">
      <alignment vertical="center"/>
    </xf>
    <xf numFmtId="3" fontId="6" fillId="0" borderId="21" xfId="7" applyNumberFormat="1" applyFont="1" applyFill="1" applyBorder="1" applyAlignment="1">
      <alignment vertical="center"/>
    </xf>
    <xf numFmtId="3" fontId="5" fillId="0" borderId="26" xfId="7" applyNumberFormat="1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0" xfId="4" applyFont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3" fontId="7" fillId="2" borderId="1" xfId="7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7" fillId="0" borderId="3" xfId="4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7" fillId="0" borderId="15" xfId="4" applyFont="1" applyBorder="1" applyAlignment="1">
      <alignment vertical="center" wrapText="1"/>
    </xf>
    <xf numFmtId="3" fontId="7" fillId="0" borderId="19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3" fontId="5" fillId="0" borderId="3" xfId="7" applyNumberFormat="1" applyFont="1" applyFill="1" applyBorder="1" applyAlignment="1">
      <alignment vertical="center"/>
    </xf>
    <xf numFmtId="3" fontId="5" fillId="0" borderId="15" xfId="7" applyNumberFormat="1" applyFont="1" applyFill="1" applyBorder="1" applyAlignment="1">
      <alignment horizontal="right" vertical="center"/>
    </xf>
    <xf numFmtId="0" fontId="7" fillId="0" borderId="30" xfId="0" applyFont="1" applyBorder="1" applyAlignment="1">
      <alignment vertical="center"/>
    </xf>
    <xf numFmtId="0" fontId="6" fillId="0" borderId="37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9" fillId="0" borderId="25" xfId="4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4" fontId="7" fillId="0" borderId="29" xfId="0" applyNumberFormat="1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2" fontId="6" fillId="0" borderId="29" xfId="0" applyNumberFormat="1" applyFont="1" applyBorder="1" applyAlignment="1">
      <alignment horizontal="right" vertical="center"/>
    </xf>
    <xf numFmtId="165" fontId="6" fillId="0" borderId="29" xfId="0" applyNumberFormat="1" applyFont="1" applyBorder="1" applyAlignment="1">
      <alignment horizontal="right" vertical="center"/>
    </xf>
    <xf numFmtId="0" fontId="6" fillId="0" borderId="31" xfId="4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right" vertical="center"/>
    </xf>
    <xf numFmtId="2" fontId="5" fillId="0" borderId="15" xfId="0" applyNumberFormat="1" applyFont="1" applyBorder="1" applyAlignment="1">
      <alignment horizontal="right" vertical="center"/>
    </xf>
    <xf numFmtId="4" fontId="5" fillId="0" borderId="15" xfId="0" applyNumberFormat="1" applyFont="1" applyBorder="1" applyAlignment="1">
      <alignment horizontal="right" vertical="center"/>
    </xf>
    <xf numFmtId="2" fontId="7" fillId="0" borderId="15" xfId="0" applyNumberFormat="1" applyFont="1" applyBorder="1" applyAlignment="1">
      <alignment vertical="center"/>
    </xf>
    <xf numFmtId="167" fontId="7" fillId="0" borderId="19" xfId="7" applyNumberFormat="1" applyFont="1" applyBorder="1" applyAlignment="1">
      <alignment vertical="center"/>
    </xf>
    <xf numFmtId="3" fontId="7" fillId="0" borderId="19" xfId="7" applyNumberFormat="1" applyFont="1" applyBorder="1" applyAlignment="1">
      <alignment vertical="center"/>
    </xf>
    <xf numFmtId="3" fontId="7" fillId="0" borderId="27" xfId="7" applyNumberFormat="1" applyFont="1" applyBorder="1" applyAlignment="1">
      <alignment vertical="center"/>
    </xf>
    <xf numFmtId="1" fontId="7" fillId="0" borderId="19" xfId="0" applyNumberFormat="1" applyFont="1" applyBorder="1" applyAlignment="1">
      <alignment vertical="center"/>
    </xf>
    <xf numFmtId="1" fontId="7" fillId="2" borderId="19" xfId="0" applyNumberFormat="1" applyFont="1" applyFill="1" applyBorder="1" applyAlignment="1">
      <alignment vertical="center"/>
    </xf>
    <xf numFmtId="1" fontId="7" fillId="0" borderId="24" xfId="0" applyNumberFormat="1" applyFont="1" applyBorder="1" applyAlignment="1">
      <alignment vertical="center"/>
    </xf>
    <xf numFmtId="4" fontId="7" fillId="0" borderId="24" xfId="0" applyNumberFormat="1" applyFont="1" applyBorder="1" applyAlignment="1">
      <alignment vertical="center"/>
    </xf>
    <xf numFmtId="4" fontId="7" fillId="0" borderId="19" xfId="0" applyNumberFormat="1" applyFont="1" applyBorder="1" applyAlignment="1">
      <alignment vertical="center"/>
    </xf>
    <xf numFmtId="4" fontId="7" fillId="0" borderId="27" xfId="0" applyNumberFormat="1" applyFont="1" applyBorder="1" applyAlignment="1">
      <alignment vertical="center"/>
    </xf>
    <xf numFmtId="4" fontId="7" fillId="0" borderId="17" xfId="0" applyNumberFormat="1" applyFont="1" applyBorder="1" applyAlignment="1">
      <alignment vertical="center"/>
    </xf>
    <xf numFmtId="3" fontId="7" fillId="2" borderId="19" xfId="7" applyNumberFormat="1" applyFont="1" applyFill="1" applyBorder="1" applyAlignment="1">
      <alignment vertical="center"/>
    </xf>
    <xf numFmtId="3" fontId="7" fillId="0" borderId="17" xfId="7" applyNumberFormat="1" applyFont="1" applyBorder="1" applyAlignment="1">
      <alignment vertical="center"/>
    </xf>
    <xf numFmtId="3" fontId="6" fillId="0" borderId="22" xfId="7" applyNumberFormat="1" applyFont="1" applyBorder="1" applyAlignment="1">
      <alignment horizontal="right" vertical="center"/>
    </xf>
    <xf numFmtId="3" fontId="6" fillId="0" borderId="30" xfId="7" applyNumberFormat="1" applyFont="1" applyBorder="1" applyAlignment="1">
      <alignment horizontal="right" vertical="center"/>
    </xf>
    <xf numFmtId="3" fontId="6" fillId="0" borderId="22" xfId="7" applyNumberFormat="1" applyFont="1" applyFill="1" applyBorder="1" applyAlignment="1">
      <alignment vertical="center"/>
    </xf>
    <xf numFmtId="167" fontId="5" fillId="0" borderId="3" xfId="7" applyNumberFormat="1" applyFont="1" applyBorder="1" applyAlignment="1">
      <alignment horizontal="right" vertical="center"/>
    </xf>
    <xf numFmtId="1" fontId="7" fillId="0" borderId="17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3" fontId="6" fillId="0" borderId="0" xfId="7" applyNumberFormat="1" applyFont="1" applyFill="1" applyBorder="1" applyAlignment="1">
      <alignment horizontal="right" vertical="center"/>
    </xf>
    <xf numFmtId="4" fontId="6" fillId="0" borderId="0" xfId="7" applyNumberFormat="1" applyFont="1" applyFill="1" applyBorder="1" applyAlignment="1">
      <alignment horizontal="right" vertical="center"/>
    </xf>
    <xf numFmtId="0" fontId="6" fillId="0" borderId="18" xfId="4" applyFont="1" applyBorder="1" applyAlignment="1">
      <alignment vertical="center"/>
    </xf>
    <xf numFmtId="0" fontId="6" fillId="0" borderId="1" xfId="4" applyFont="1" applyBorder="1" applyAlignment="1">
      <alignment vertical="center"/>
    </xf>
    <xf numFmtId="0" fontId="6" fillId="0" borderId="18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0" fontId="6" fillId="0" borderId="43" xfId="0" applyFont="1" applyBorder="1" applyAlignment="1">
      <alignment vertical="center"/>
    </xf>
    <xf numFmtId="0" fontId="6" fillId="0" borderId="14" xfId="4" applyFont="1" applyBorder="1" applyAlignment="1">
      <alignment horizontal="center" vertical="center"/>
    </xf>
    <xf numFmtId="0" fontId="6" fillId="0" borderId="47" xfId="4" applyFont="1" applyBorder="1" applyAlignment="1">
      <alignment vertical="center"/>
    </xf>
    <xf numFmtId="0" fontId="6" fillId="0" borderId="23" xfId="4" applyFont="1" applyBorder="1" applyAlignment="1">
      <alignment vertical="center"/>
    </xf>
    <xf numFmtId="0" fontId="6" fillId="0" borderId="18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4" fontId="8" fillId="0" borderId="22" xfId="0" applyNumberFormat="1" applyFont="1" applyBorder="1" applyAlignment="1">
      <alignment vertical="center"/>
    </xf>
    <xf numFmtId="0" fontId="6" fillId="0" borderId="47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4" fontId="8" fillId="0" borderId="30" xfId="0" applyNumberFormat="1" applyFont="1" applyBorder="1" applyAlignment="1">
      <alignment vertical="center"/>
    </xf>
    <xf numFmtId="0" fontId="6" fillId="0" borderId="2" xfId="4" applyFont="1" applyBorder="1" applyAlignment="1">
      <alignment vertical="center"/>
    </xf>
    <xf numFmtId="0" fontId="8" fillId="0" borderId="24" xfId="0" applyFont="1" applyBorder="1" applyAlignment="1">
      <alignment horizontal="right" vertical="center"/>
    </xf>
    <xf numFmtId="0" fontId="6" fillId="0" borderId="30" xfId="4" applyFont="1" applyBorder="1" applyAlignment="1">
      <alignment horizontal="center" vertical="center"/>
    </xf>
    <xf numFmtId="165" fontId="6" fillId="0" borderId="19" xfId="5" applyNumberFormat="1" applyFont="1" applyFill="1" applyBorder="1" applyAlignment="1">
      <alignment horizontal="right" vertical="center"/>
    </xf>
    <xf numFmtId="4" fontId="6" fillId="0" borderId="19" xfId="5" applyNumberFormat="1" applyFont="1" applyFill="1" applyBorder="1" applyAlignment="1">
      <alignment horizontal="right" vertical="center"/>
    </xf>
    <xf numFmtId="0" fontId="8" fillId="0" borderId="29" xfId="0" applyFont="1" applyBorder="1" applyAlignment="1">
      <alignment horizontal="center" vertical="center"/>
    </xf>
    <xf numFmtId="3" fontId="7" fillId="0" borderId="24" xfId="7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3" fontId="7" fillId="0" borderId="16" xfId="0" applyNumberFormat="1" applyFont="1" applyBorder="1" applyAlignment="1">
      <alignment vertical="center"/>
    </xf>
    <xf numFmtId="0" fontId="8" fillId="0" borderId="19" xfId="0" applyFont="1" applyBorder="1" applyAlignment="1">
      <alignment horizontal="right" vertical="center"/>
    </xf>
    <xf numFmtId="0" fontId="8" fillId="0" borderId="21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6" fillId="0" borderId="14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168" fontId="7" fillId="0" borderId="23" xfId="0" applyNumberFormat="1" applyFont="1" applyBorder="1" applyAlignment="1">
      <alignment vertical="center"/>
    </xf>
    <xf numFmtId="168" fontId="7" fillId="0" borderId="24" xfId="0" applyNumberFormat="1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2" fontId="7" fillId="0" borderId="18" xfId="0" applyNumberFormat="1" applyFont="1" applyBorder="1" applyAlignment="1">
      <alignment vertical="center"/>
    </xf>
    <xf numFmtId="168" fontId="7" fillId="0" borderId="19" xfId="0" applyNumberFormat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65" fontId="6" fillId="0" borderId="19" xfId="5" applyNumberFormat="1" applyFont="1" applyBorder="1" applyAlignment="1">
      <alignment horizontal="right" vertical="center"/>
    </xf>
    <xf numFmtId="0" fontId="6" fillId="0" borderId="0" xfId="4" applyFont="1" applyAlignment="1">
      <alignment horizontal="center" vertical="center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center" vertical="center"/>
    </xf>
    <xf numFmtId="0" fontId="30" fillId="0" borderId="25" xfId="1" applyFont="1" applyBorder="1" applyAlignment="1">
      <alignment horizontal="center" vertical="center"/>
    </xf>
    <xf numFmtId="0" fontId="30" fillId="0" borderId="26" xfId="1" applyFont="1" applyBorder="1" applyAlignment="1">
      <alignment horizontal="center" vertical="center"/>
    </xf>
    <xf numFmtId="0" fontId="30" fillId="0" borderId="27" xfId="1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165" fontId="6" fillId="0" borderId="41" xfId="5" applyNumberFormat="1" applyFont="1" applyBorder="1" applyAlignment="1">
      <alignment horizontal="center" vertical="center"/>
    </xf>
    <xf numFmtId="165" fontId="6" fillId="0" borderId="48" xfId="5" applyNumberFormat="1" applyFont="1" applyBorder="1" applyAlignment="1">
      <alignment horizontal="center" vertical="center"/>
    </xf>
    <xf numFmtId="165" fontId="6" fillId="0" borderId="49" xfId="5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36" fillId="0" borderId="0" xfId="0" quotePrefix="1" applyFont="1" applyAlignment="1">
      <alignment horizontal="center" vertical="center" wrapText="1"/>
    </xf>
    <xf numFmtId="0" fontId="30" fillId="0" borderId="25" xfId="1" applyFont="1" applyFill="1" applyBorder="1" applyAlignment="1">
      <alignment horizontal="center" vertical="center"/>
    </xf>
    <xf numFmtId="0" fontId="30" fillId="0" borderId="26" xfId="1" applyFont="1" applyFill="1" applyBorder="1" applyAlignment="1">
      <alignment horizontal="center" vertical="center"/>
    </xf>
    <xf numFmtId="0" fontId="30" fillId="0" borderId="27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6" fillId="0" borderId="18" xfId="4" applyFont="1" applyBorder="1" applyAlignment="1">
      <alignment horizontal="left" vertical="center"/>
    </xf>
    <xf numFmtId="0" fontId="6" fillId="0" borderId="1" xfId="4" applyFont="1" applyBorder="1" applyAlignment="1">
      <alignment horizontal="left" vertical="center"/>
    </xf>
    <xf numFmtId="0" fontId="34" fillId="0" borderId="0" xfId="0" quotePrefix="1" applyFont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9" fillId="0" borderId="25" xfId="1" applyFont="1" applyFill="1" applyBorder="1" applyAlignment="1">
      <alignment horizontal="center" vertical="center"/>
    </xf>
    <xf numFmtId="0" fontId="29" fillId="0" borderId="26" xfId="1" applyFont="1" applyFill="1" applyBorder="1" applyAlignment="1">
      <alignment horizontal="center" vertical="center"/>
    </xf>
    <xf numFmtId="0" fontId="29" fillId="0" borderId="27" xfId="1" applyFont="1" applyFill="1" applyBorder="1" applyAlignment="1">
      <alignment horizontal="center" vertical="center"/>
    </xf>
    <xf numFmtId="0" fontId="5" fillId="0" borderId="42" xfId="1" applyFont="1" applyFill="1" applyBorder="1" applyAlignment="1">
      <alignment horizontal="center" vertical="center"/>
    </xf>
    <xf numFmtId="0" fontId="5" fillId="0" borderId="45" xfId="1" applyFont="1" applyFill="1" applyBorder="1" applyAlignment="1">
      <alignment horizontal="center" vertical="center"/>
    </xf>
    <xf numFmtId="0" fontId="5" fillId="0" borderId="46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3" fontId="6" fillId="0" borderId="0" xfId="4" applyNumberFormat="1" applyFont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29" fillId="0" borderId="39" xfId="1" applyFont="1" applyFill="1" applyBorder="1" applyAlignment="1">
      <alignment horizontal="center" vertical="center"/>
    </xf>
    <xf numFmtId="0" fontId="29" fillId="0" borderId="38" xfId="1" applyFont="1" applyFill="1" applyBorder="1" applyAlignment="1">
      <alignment horizontal="center" vertical="center"/>
    </xf>
    <xf numFmtId="0" fontId="29" fillId="0" borderId="40" xfId="1" applyFont="1" applyFill="1" applyBorder="1" applyAlignment="1">
      <alignment horizontal="center" vertical="center"/>
    </xf>
    <xf numFmtId="0" fontId="35" fillId="0" borderId="0" xfId="4" applyFont="1" applyAlignment="1">
      <alignment horizontal="left" vertical="center"/>
    </xf>
    <xf numFmtId="165" fontId="6" fillId="0" borderId="1" xfId="5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6" fillId="0" borderId="41" xfId="4" applyFont="1" applyBorder="1" applyAlignment="1">
      <alignment horizontal="center" vertical="center"/>
    </xf>
    <xf numFmtId="0" fontId="6" fillId="0" borderId="48" xfId="4" applyFont="1" applyBorder="1" applyAlignment="1">
      <alignment horizontal="center" vertical="center"/>
    </xf>
    <xf numFmtId="0" fontId="6" fillId="0" borderId="49" xfId="4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9" fillId="0" borderId="25" xfId="1" applyFont="1" applyBorder="1" applyAlignment="1">
      <alignment horizontal="center" vertical="center"/>
    </xf>
    <xf numFmtId="0" fontId="29" fillId="0" borderId="26" xfId="1" applyFont="1" applyBorder="1" applyAlignment="1">
      <alignment horizontal="center" vertical="center"/>
    </xf>
    <xf numFmtId="0" fontId="29" fillId="0" borderId="27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50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20" fontId="8" fillId="0" borderId="0" xfId="0" applyNumberFormat="1" applyFont="1" applyAlignment="1">
      <alignment horizontal="center" vertical="center" wrapText="1"/>
    </xf>
    <xf numFmtId="0" fontId="29" fillId="0" borderId="39" xfId="1" applyFont="1" applyBorder="1" applyAlignment="1">
      <alignment horizontal="center" vertical="center"/>
    </xf>
    <xf numFmtId="0" fontId="29" fillId="0" borderId="38" xfId="1" applyFont="1" applyBorder="1" applyAlignment="1">
      <alignment horizontal="center" vertical="center"/>
    </xf>
    <xf numFmtId="0" fontId="29" fillId="0" borderId="40" xfId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165" fontId="6" fillId="0" borderId="42" xfId="9" applyNumberFormat="1" applyFont="1" applyBorder="1" applyAlignment="1">
      <alignment horizontal="right" vertical="center"/>
    </xf>
    <xf numFmtId="165" fontId="6" fillId="0" borderId="45" xfId="9" applyNumberFormat="1" applyFont="1" applyBorder="1" applyAlignment="1">
      <alignment horizontal="right" vertical="center"/>
    </xf>
    <xf numFmtId="165" fontId="6" fillId="0" borderId="44" xfId="9" applyNumberFormat="1" applyFont="1" applyBorder="1" applyAlignment="1">
      <alignment horizontal="right" vertical="center"/>
    </xf>
    <xf numFmtId="2" fontId="6" fillId="0" borderId="0" xfId="0" applyNumberFormat="1" applyFont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6" fillId="0" borderId="2" xfId="4" applyFont="1" applyBorder="1" applyAlignment="1">
      <alignment horizontal="right" vertical="center"/>
    </xf>
    <xf numFmtId="165" fontId="6" fillId="0" borderId="2" xfId="9" applyNumberFormat="1" applyFont="1" applyFill="1" applyBorder="1" applyAlignment="1">
      <alignment horizontal="right" vertical="center"/>
    </xf>
    <xf numFmtId="165" fontId="6" fillId="0" borderId="24" xfId="9" applyNumberFormat="1" applyFont="1" applyFill="1" applyBorder="1" applyAlignment="1">
      <alignment horizontal="right" vertical="center"/>
    </xf>
  </cellXfs>
  <cellStyles count="89">
    <cellStyle name="20% - Accent1" xfId="29" builtinId="30" customBuiltin="1"/>
    <cellStyle name="20% - Accent1 2" xfId="54" xr:uid="{00000000-0005-0000-0000-000001000000}"/>
    <cellStyle name="20% - Accent1 3" xfId="55" xr:uid="{00000000-0005-0000-0000-000002000000}"/>
    <cellStyle name="20% - Accent2" xfId="33" builtinId="34" customBuiltin="1"/>
    <cellStyle name="20% - Accent2 2" xfId="56" xr:uid="{00000000-0005-0000-0000-000004000000}"/>
    <cellStyle name="20% - Accent2 3" xfId="57" xr:uid="{00000000-0005-0000-0000-000005000000}"/>
    <cellStyle name="20% - Accent3" xfId="37" builtinId="38" customBuiltin="1"/>
    <cellStyle name="20% - Accent3 2" xfId="58" xr:uid="{00000000-0005-0000-0000-000007000000}"/>
    <cellStyle name="20% - Accent3 3" xfId="59" xr:uid="{00000000-0005-0000-0000-000008000000}"/>
    <cellStyle name="20% - Accent4" xfId="41" builtinId="42" customBuiltin="1"/>
    <cellStyle name="20% - Accent4 2" xfId="60" xr:uid="{00000000-0005-0000-0000-00000A000000}"/>
    <cellStyle name="20% - Accent4 3" xfId="61" xr:uid="{00000000-0005-0000-0000-00000B000000}"/>
    <cellStyle name="20% - Accent5" xfId="45" builtinId="46" customBuiltin="1"/>
    <cellStyle name="20% - Accent5 2" xfId="62" xr:uid="{00000000-0005-0000-0000-00000D000000}"/>
    <cellStyle name="20% - Accent5 3" xfId="63" xr:uid="{00000000-0005-0000-0000-00000E000000}"/>
    <cellStyle name="20% - Accent6" xfId="49" builtinId="50" customBuiltin="1"/>
    <cellStyle name="20% - Accent6 2" xfId="64" xr:uid="{00000000-0005-0000-0000-000010000000}"/>
    <cellStyle name="20% - Accent6 3" xfId="65" xr:uid="{00000000-0005-0000-0000-000011000000}"/>
    <cellStyle name="40% - Accent1" xfId="30" builtinId="31" customBuiltin="1"/>
    <cellStyle name="40% - Accent1 2" xfId="66" xr:uid="{00000000-0005-0000-0000-000013000000}"/>
    <cellStyle name="40% - Accent1 3" xfId="67" xr:uid="{00000000-0005-0000-0000-000014000000}"/>
    <cellStyle name="40% - Accent2" xfId="34" builtinId="35" customBuiltin="1"/>
    <cellStyle name="40% - Accent2 2" xfId="68" xr:uid="{00000000-0005-0000-0000-000016000000}"/>
    <cellStyle name="40% - Accent2 3" xfId="69" xr:uid="{00000000-0005-0000-0000-000017000000}"/>
    <cellStyle name="40% - Accent3" xfId="38" builtinId="39" customBuiltin="1"/>
    <cellStyle name="40% - Accent3 2" xfId="70" xr:uid="{00000000-0005-0000-0000-000019000000}"/>
    <cellStyle name="40% - Accent3 3" xfId="71" xr:uid="{00000000-0005-0000-0000-00001A000000}"/>
    <cellStyle name="40% - Accent4" xfId="42" builtinId="43" customBuiltin="1"/>
    <cellStyle name="40% - Accent4 2" xfId="72" xr:uid="{00000000-0005-0000-0000-00001C000000}"/>
    <cellStyle name="40% - Accent4 3" xfId="73" xr:uid="{00000000-0005-0000-0000-00001D000000}"/>
    <cellStyle name="40% - Accent5" xfId="46" builtinId="47" customBuiltin="1"/>
    <cellStyle name="40% - Accent5 2" xfId="74" xr:uid="{00000000-0005-0000-0000-00001F000000}"/>
    <cellStyle name="40% - Accent5 3" xfId="75" xr:uid="{00000000-0005-0000-0000-000020000000}"/>
    <cellStyle name="40% - Accent6" xfId="50" builtinId="51" customBuiltin="1"/>
    <cellStyle name="40% - Accent6 2" xfId="76" xr:uid="{00000000-0005-0000-0000-000022000000}"/>
    <cellStyle name="40% - Accent6 3" xfId="77" xr:uid="{00000000-0005-0000-0000-000023000000}"/>
    <cellStyle name="60% - Accent1" xfId="31" builtinId="32" customBuiltin="1"/>
    <cellStyle name="60% - Accent2" xfId="35" builtinId="36" customBuiltin="1"/>
    <cellStyle name="60% - Accent3" xfId="39" builtinId="40" customBuiltin="1"/>
    <cellStyle name="60% - Accent4" xfId="43" builtinId="44" customBuiltin="1"/>
    <cellStyle name="60% - Accent5" xfId="47" builtinId="48" customBuiltin="1"/>
    <cellStyle name="60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Bad" xfId="17" builtinId="27" customBuiltin="1"/>
    <cellStyle name="Calculation" xfId="21" builtinId="22" customBuiltin="1"/>
    <cellStyle name="Check Cell" xfId="23" builtinId="23" customBuiltin="1"/>
    <cellStyle name="Comma" xfId="7" builtinId="3"/>
    <cellStyle name="Comma 2" xfId="2" xr:uid="{00000000-0005-0000-0000-000034000000}"/>
    <cellStyle name="Comma 2 2" xfId="87" xr:uid="{312F98D2-B2C4-4040-8575-A7FEF04309DF}"/>
    <cellStyle name="Comma 3" xfId="6" xr:uid="{00000000-0005-0000-0000-000035000000}"/>
    <cellStyle name="Comma 3 2" xfId="10" xr:uid="{00000000-0005-0000-0000-000036000000}"/>
    <cellStyle name="Comma 3 3" xfId="88" xr:uid="{9A2DF730-A753-4802-883C-EB3D1EA1CE72}"/>
    <cellStyle name="Explanatory Text" xfId="26" builtinId="53" customBuiltin="1"/>
    <cellStyle name="Fixed" xfId="3" xr:uid="{00000000-0005-0000-0000-000038000000}"/>
    <cellStyle name="Fixed 2" xfId="8" xr:uid="{00000000-0005-0000-0000-000039000000}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11" xfId="78" xr:uid="{00000000-0005-0000-0000-000043000000}"/>
    <cellStyle name="Normal 2" xfId="1" xr:uid="{00000000-0005-0000-0000-000044000000}"/>
    <cellStyle name="Normal 2 2" xfId="79" xr:uid="{00000000-0005-0000-0000-000045000000}"/>
    <cellStyle name="Normal 3" xfId="5" xr:uid="{00000000-0005-0000-0000-000046000000}"/>
    <cellStyle name="Normal 3 2" xfId="9" xr:uid="{00000000-0005-0000-0000-000047000000}"/>
    <cellStyle name="Normal 3 2 2" xfId="80" xr:uid="{00000000-0005-0000-0000-000048000000}"/>
    <cellStyle name="Normal 4" xfId="81" xr:uid="{00000000-0005-0000-0000-000049000000}"/>
    <cellStyle name="Normal 5" xfId="53" xr:uid="{00000000-0005-0000-0000-00004A000000}"/>
    <cellStyle name="Normal 6" xfId="52" xr:uid="{00000000-0005-0000-0000-00004B000000}"/>
    <cellStyle name="Normal 7" xfId="85" xr:uid="{00000000-0005-0000-0000-00004C000000}"/>
    <cellStyle name="Normal_Sheet1" xfId="4" xr:uid="{00000000-0005-0000-0000-00004D000000}"/>
    <cellStyle name="Note" xfId="25" builtinId="10" customBuiltin="1"/>
    <cellStyle name="Note 2" xfId="82" xr:uid="{00000000-0005-0000-0000-00004F000000}"/>
    <cellStyle name="Note 3" xfId="83" xr:uid="{00000000-0005-0000-0000-000050000000}"/>
    <cellStyle name="Note 4" xfId="84" xr:uid="{00000000-0005-0000-0000-000051000000}"/>
    <cellStyle name="Output" xfId="20" builtinId="21" customBuiltin="1"/>
    <cellStyle name="Percent 2" xfId="86" xr:uid="{00000000-0005-0000-0000-000053000000}"/>
    <cellStyle name="Title" xfId="11" builtinId="15" customBuiltin="1"/>
    <cellStyle name="Total" xfId="27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5"/>
  <sheetViews>
    <sheetView tabSelected="1" zoomScaleNormal="100" zoomScaleSheetLayoutView="100" workbookViewId="0">
      <selection activeCell="O9" sqref="O9"/>
    </sheetView>
  </sheetViews>
  <sheetFormatPr defaultColWidth="9.109375" defaultRowHeight="15.6" x14ac:dyDescent="0.3"/>
  <cols>
    <col min="1" max="1" width="9.109375" style="4"/>
    <col min="2" max="2" width="7" style="4" customWidth="1"/>
    <col min="3" max="3" width="36.6640625" style="4" customWidth="1"/>
    <col min="4" max="4" width="12.33203125" style="4" customWidth="1"/>
    <col min="5" max="5" width="12.44140625" style="4" customWidth="1"/>
    <col min="6" max="6" width="12.33203125" style="4" customWidth="1"/>
    <col min="7" max="7" width="11.88671875" style="4" customWidth="1"/>
    <col min="8" max="9" width="11.44140625" style="4" customWidth="1"/>
    <col min="10" max="12" width="11.6640625" style="4" customWidth="1"/>
    <col min="13" max="16384" width="9.109375" style="4"/>
  </cols>
  <sheetData>
    <row r="1" spans="2:12" ht="20.399999999999999" x14ac:dyDescent="0.3">
      <c r="B1" s="221" t="s">
        <v>54</v>
      </c>
      <c r="C1" s="222"/>
      <c r="D1" s="222"/>
      <c r="E1" s="222"/>
      <c r="F1" s="222"/>
      <c r="G1" s="222"/>
      <c r="H1" s="222"/>
      <c r="I1" s="222"/>
      <c r="J1" s="222"/>
      <c r="K1" s="222"/>
      <c r="L1" s="223"/>
    </row>
    <row r="2" spans="2:12" ht="18.75" customHeight="1" x14ac:dyDescent="0.3">
      <c r="B2" s="185" t="s">
        <v>0</v>
      </c>
      <c r="C2" s="193"/>
      <c r="D2" s="225"/>
      <c r="E2" s="226"/>
      <c r="F2" s="226"/>
      <c r="G2" s="226"/>
      <c r="H2" s="226"/>
      <c r="I2" s="226"/>
      <c r="J2" s="226"/>
      <c r="K2" s="227"/>
      <c r="L2" s="194" t="s">
        <v>1</v>
      </c>
    </row>
    <row r="3" spans="2:12" ht="26.4" customHeight="1" x14ac:dyDescent="0.3">
      <c r="B3" s="190" t="s">
        <v>25</v>
      </c>
      <c r="C3" s="191" t="s">
        <v>4</v>
      </c>
      <c r="D3" s="220" t="s">
        <v>59</v>
      </c>
      <c r="E3" s="220"/>
      <c r="F3" s="220"/>
      <c r="G3" s="220" t="s">
        <v>60</v>
      </c>
      <c r="H3" s="220"/>
      <c r="I3" s="220"/>
      <c r="J3" s="220" t="s">
        <v>61</v>
      </c>
      <c r="K3" s="220"/>
      <c r="L3" s="224"/>
    </row>
    <row r="4" spans="2:12" ht="21.75" customHeight="1" thickBot="1" x14ac:dyDescent="0.35">
      <c r="B4" s="58" t="s">
        <v>2</v>
      </c>
      <c r="C4" s="150" t="s">
        <v>71</v>
      </c>
      <c r="D4" s="88">
        <v>2023</v>
      </c>
      <c r="E4" s="88">
        <v>2024</v>
      </c>
      <c r="F4" s="88">
        <v>2025</v>
      </c>
      <c r="G4" s="88">
        <v>2023</v>
      </c>
      <c r="H4" s="88">
        <v>2024</v>
      </c>
      <c r="I4" s="88">
        <v>2025</v>
      </c>
      <c r="J4" s="88">
        <v>2023</v>
      </c>
      <c r="K4" s="88">
        <v>2024</v>
      </c>
      <c r="L4" s="195">
        <v>2025</v>
      </c>
    </row>
    <row r="5" spans="2:12" ht="20.100000000000001" customHeight="1" x14ac:dyDescent="0.3">
      <c r="B5" s="47">
        <v>1</v>
      </c>
      <c r="C5" s="133" t="s">
        <v>9</v>
      </c>
      <c r="D5" s="74">
        <v>52397.85</v>
      </c>
      <c r="E5" s="74">
        <v>55656.639999999999</v>
      </c>
      <c r="F5" s="74">
        <v>63525.9539</v>
      </c>
      <c r="G5" s="74">
        <v>14332.62</v>
      </c>
      <c r="H5" s="74">
        <v>15664.11</v>
      </c>
      <c r="I5" s="74">
        <v>17336.143599999999</v>
      </c>
      <c r="J5" s="75">
        <v>43053.34</v>
      </c>
      <c r="K5" s="75">
        <v>45525.718999999997</v>
      </c>
      <c r="L5" s="199">
        <v>52081.2546</v>
      </c>
    </row>
    <row r="6" spans="2:12" s="5" customFormat="1" ht="20.100000000000001" customHeight="1" x14ac:dyDescent="0.3">
      <c r="B6" s="46">
        <v>2</v>
      </c>
      <c r="C6" s="126" t="s">
        <v>10</v>
      </c>
      <c r="D6" s="76">
        <v>47766</v>
      </c>
      <c r="E6" s="76">
        <v>49515.07</v>
      </c>
      <c r="F6" s="76">
        <v>53688.959999999999</v>
      </c>
      <c r="G6" s="76">
        <v>14156</v>
      </c>
      <c r="H6" s="76">
        <v>15262.6</v>
      </c>
      <c r="I6" s="76">
        <v>15100.8</v>
      </c>
      <c r="J6" s="77">
        <v>37290</v>
      </c>
      <c r="K6" s="127">
        <v>39733.75</v>
      </c>
      <c r="L6" s="168">
        <v>43983.67</v>
      </c>
    </row>
    <row r="7" spans="2:12" ht="20.100000000000001" customHeight="1" x14ac:dyDescent="0.3">
      <c r="B7" s="43">
        <v>3</v>
      </c>
      <c r="C7" s="97" t="s">
        <v>72</v>
      </c>
      <c r="D7" s="78">
        <v>24505.81</v>
      </c>
      <c r="E7" s="78">
        <v>29718.799999999999</v>
      </c>
      <c r="F7" s="78">
        <v>36861.49</v>
      </c>
      <c r="G7" s="78">
        <v>5848.7</v>
      </c>
      <c r="H7" s="78">
        <v>7551.43</v>
      </c>
      <c r="I7" s="78">
        <v>11389.34</v>
      </c>
      <c r="J7" s="77">
        <v>20650.650000000001</v>
      </c>
      <c r="K7" s="77">
        <v>24335.58</v>
      </c>
      <c r="L7" s="159">
        <v>31507.05</v>
      </c>
    </row>
    <row r="8" spans="2:12" ht="20.100000000000001" customHeight="1" x14ac:dyDescent="0.3">
      <c r="B8" s="45">
        <v>4</v>
      </c>
      <c r="C8" s="128" t="s">
        <v>11</v>
      </c>
      <c r="D8" s="78">
        <v>13351.65</v>
      </c>
      <c r="E8" s="78">
        <v>14290.31</v>
      </c>
      <c r="F8" s="78">
        <v>16013.45</v>
      </c>
      <c r="G8" s="78">
        <v>3888.64</v>
      </c>
      <c r="H8" s="78">
        <v>3942.4</v>
      </c>
      <c r="I8" s="78">
        <v>3955.15</v>
      </c>
      <c r="J8" s="77">
        <v>9451.52</v>
      </c>
      <c r="K8" s="77">
        <v>10102.16</v>
      </c>
      <c r="L8" s="159">
        <v>11959.49</v>
      </c>
    </row>
    <row r="9" spans="2:12" ht="20.100000000000001" customHeight="1" x14ac:dyDescent="0.3">
      <c r="B9" s="43">
        <v>5</v>
      </c>
      <c r="C9" s="129" t="s">
        <v>12</v>
      </c>
      <c r="D9" s="78">
        <v>213386.04</v>
      </c>
      <c r="E9" s="78">
        <v>252534.02</v>
      </c>
      <c r="F9" s="78">
        <v>283647.46999999997</v>
      </c>
      <c r="G9" s="78">
        <v>48983.35</v>
      </c>
      <c r="H9" s="78">
        <v>60859.53</v>
      </c>
      <c r="I9" s="78">
        <v>66245.61</v>
      </c>
      <c r="J9" s="77">
        <v>174446.88</v>
      </c>
      <c r="K9" s="77">
        <v>209403.33</v>
      </c>
      <c r="L9" s="159">
        <v>234836.39</v>
      </c>
    </row>
    <row r="10" spans="2:12" ht="20.100000000000001" customHeight="1" x14ac:dyDescent="0.3">
      <c r="B10" s="43">
        <v>6</v>
      </c>
      <c r="C10" s="97" t="s">
        <v>13</v>
      </c>
      <c r="D10" s="78">
        <v>122038</v>
      </c>
      <c r="E10" s="109">
        <v>134776.32000000001</v>
      </c>
      <c r="F10" s="78">
        <v>148569.46</v>
      </c>
      <c r="G10" s="78">
        <v>34829.15</v>
      </c>
      <c r="H10" s="78">
        <v>34986.71</v>
      </c>
      <c r="I10" s="78">
        <v>41212.660000000003</v>
      </c>
      <c r="J10" s="77">
        <v>82285.45</v>
      </c>
      <c r="K10" s="77">
        <v>93762.51</v>
      </c>
      <c r="L10" s="159">
        <v>104198.72</v>
      </c>
    </row>
    <row r="11" spans="2:12" ht="20.100000000000001" customHeight="1" x14ac:dyDescent="0.3">
      <c r="B11" s="45">
        <v>7</v>
      </c>
      <c r="C11" s="97" t="s">
        <v>14</v>
      </c>
      <c r="D11" s="78">
        <v>87368.01</v>
      </c>
      <c r="E11" s="109">
        <v>97988.22</v>
      </c>
      <c r="F11" s="78">
        <v>104807.49</v>
      </c>
      <c r="G11" s="78">
        <v>23326.37</v>
      </c>
      <c r="H11" s="78">
        <v>24302.05</v>
      </c>
      <c r="I11" s="78">
        <v>24536.51</v>
      </c>
      <c r="J11" s="77">
        <v>59951.62</v>
      </c>
      <c r="K11" s="77">
        <v>71508.639999999999</v>
      </c>
      <c r="L11" s="159">
        <v>76541.48</v>
      </c>
    </row>
    <row r="12" spans="2:12" ht="20.100000000000001" customHeight="1" x14ac:dyDescent="0.3">
      <c r="B12" s="43">
        <v>8</v>
      </c>
      <c r="C12" s="97" t="s">
        <v>15</v>
      </c>
      <c r="D12" s="78">
        <v>76637.58</v>
      </c>
      <c r="E12" s="78">
        <v>89112.72</v>
      </c>
      <c r="F12" s="78">
        <v>102077.99</v>
      </c>
      <c r="G12" s="78">
        <v>18808.32</v>
      </c>
      <c r="H12" s="78">
        <v>22343.52</v>
      </c>
      <c r="I12" s="78">
        <v>23831.25</v>
      </c>
      <c r="J12" s="77">
        <v>63134.14</v>
      </c>
      <c r="K12" s="77">
        <v>73667.48</v>
      </c>
      <c r="L12" s="159">
        <v>84004.54</v>
      </c>
    </row>
    <row r="13" spans="2:12" s="5" customFormat="1" ht="20.100000000000001" customHeight="1" x14ac:dyDescent="0.3">
      <c r="B13" s="46">
        <v>9</v>
      </c>
      <c r="C13" s="126" t="s">
        <v>58</v>
      </c>
      <c r="D13" s="78">
        <v>7681.82</v>
      </c>
      <c r="E13" s="78">
        <v>8267.7443999999996</v>
      </c>
      <c r="F13" s="78">
        <v>8255.8187999999991</v>
      </c>
      <c r="G13" s="78">
        <v>21302.238000000001</v>
      </c>
      <c r="H13" s="78">
        <v>1989.0734</v>
      </c>
      <c r="I13" s="78">
        <v>1856.8861999999999</v>
      </c>
      <c r="J13" s="77">
        <v>4317.0379999999996</v>
      </c>
      <c r="K13" s="127">
        <v>4517.8444</v>
      </c>
      <c r="L13" s="168">
        <v>4663.9371000000001</v>
      </c>
    </row>
    <row r="14" spans="2:12" ht="20.100000000000001" customHeight="1" x14ac:dyDescent="0.3">
      <c r="B14" s="43">
        <v>10</v>
      </c>
      <c r="C14" s="97" t="s">
        <v>26</v>
      </c>
      <c r="D14" s="78">
        <v>84886.52</v>
      </c>
      <c r="E14" s="78">
        <v>103493.6</v>
      </c>
      <c r="F14" s="78">
        <v>110943.53</v>
      </c>
      <c r="G14" s="78">
        <v>28875.45</v>
      </c>
      <c r="H14" s="78">
        <v>29575.85</v>
      </c>
      <c r="I14" s="78">
        <v>32164.75</v>
      </c>
      <c r="J14" s="77">
        <v>70209.350000000006</v>
      </c>
      <c r="K14" s="77">
        <v>83986.92</v>
      </c>
      <c r="L14" s="159">
        <v>92618.27</v>
      </c>
    </row>
    <row r="15" spans="2:12" ht="20.100000000000001" customHeight="1" thickBot="1" x14ac:dyDescent="0.35">
      <c r="B15" s="44">
        <v>11</v>
      </c>
      <c r="C15" s="132" t="s">
        <v>17</v>
      </c>
      <c r="D15" s="79">
        <v>91651.35</v>
      </c>
      <c r="E15" s="173">
        <v>101920.26</v>
      </c>
      <c r="F15" s="79">
        <v>107525.6</v>
      </c>
      <c r="G15" s="79">
        <v>24641.8</v>
      </c>
      <c r="H15" s="79">
        <v>23977.02</v>
      </c>
      <c r="I15" s="79">
        <v>21777.18</v>
      </c>
      <c r="J15" s="80">
        <v>69804.44</v>
      </c>
      <c r="K15" s="80">
        <v>78060.649999999994</v>
      </c>
      <c r="L15" s="169">
        <v>85682.07</v>
      </c>
    </row>
    <row r="16" spans="2:12" ht="20.100000000000001" customHeight="1" thickBot="1" x14ac:dyDescent="0.35">
      <c r="B16" s="218" t="s">
        <v>62</v>
      </c>
      <c r="C16" s="219"/>
      <c r="D16" s="81">
        <f>SUM(D5:D15)</f>
        <v>821670.62999999989</v>
      </c>
      <c r="E16" s="81">
        <f t="shared" ref="E16:L16" si="0">SUM(E5:E15)</f>
        <v>937273.70439999981</v>
      </c>
      <c r="F16" s="81">
        <f t="shared" si="0"/>
        <v>1035917.2126999999</v>
      </c>
      <c r="G16" s="81">
        <f t="shared" si="0"/>
        <v>238992.63800000001</v>
      </c>
      <c r="H16" s="81">
        <f t="shared" si="0"/>
        <v>240454.29339999997</v>
      </c>
      <c r="I16" s="81">
        <f t="shared" si="0"/>
        <v>259406.27980000002</v>
      </c>
      <c r="J16" s="81">
        <f t="shared" si="0"/>
        <v>634594.42800000007</v>
      </c>
      <c r="K16" s="81">
        <f t="shared" si="0"/>
        <v>734604.5834</v>
      </c>
      <c r="L16" s="170">
        <f t="shared" si="0"/>
        <v>822076.87170000002</v>
      </c>
    </row>
    <row r="17" spans="2:12" ht="20.100000000000001" customHeight="1" thickBot="1" x14ac:dyDescent="0.35">
      <c r="B17" s="68" t="s">
        <v>3</v>
      </c>
      <c r="C17" s="228" t="s">
        <v>18</v>
      </c>
      <c r="D17" s="229"/>
      <c r="E17" s="229"/>
      <c r="F17" s="229"/>
      <c r="G17" s="229"/>
      <c r="H17" s="229"/>
      <c r="I17" s="229"/>
      <c r="J17" s="229"/>
      <c r="K17" s="229"/>
      <c r="L17" s="230"/>
    </row>
    <row r="18" spans="2:12" ht="20.100000000000001" customHeight="1" x14ac:dyDescent="0.3">
      <c r="B18" s="42">
        <v>12</v>
      </c>
      <c r="C18" s="130" t="s">
        <v>19</v>
      </c>
      <c r="D18" s="82">
        <v>946945.21</v>
      </c>
      <c r="E18" s="82">
        <v>1068641.3899999999</v>
      </c>
      <c r="F18" s="82">
        <v>1172952.02</v>
      </c>
      <c r="G18" s="82">
        <v>288814.83</v>
      </c>
      <c r="H18" s="82">
        <v>331527.25</v>
      </c>
      <c r="I18" s="82">
        <v>396141.79</v>
      </c>
      <c r="J18" s="83">
        <v>845302.84</v>
      </c>
      <c r="K18" s="83">
        <v>965068.38</v>
      </c>
      <c r="L18" s="160">
        <v>1040811.32</v>
      </c>
    </row>
    <row r="19" spans="2:12" ht="20.100000000000001" customHeight="1" x14ac:dyDescent="0.3">
      <c r="B19" s="43">
        <v>13</v>
      </c>
      <c r="C19" s="97" t="s">
        <v>33</v>
      </c>
      <c r="D19" s="78">
        <v>41238.910000000003</v>
      </c>
      <c r="E19" s="78">
        <v>49353.03</v>
      </c>
      <c r="F19" s="78">
        <v>60030.95</v>
      </c>
      <c r="G19" s="78">
        <v>12582.46</v>
      </c>
      <c r="H19" s="78">
        <v>16210.85</v>
      </c>
      <c r="I19" s="78">
        <v>20149.900000000001</v>
      </c>
      <c r="J19" s="77">
        <v>34378.04</v>
      </c>
      <c r="K19" s="77">
        <v>40924.559999999998</v>
      </c>
      <c r="L19" s="159">
        <v>51046.91</v>
      </c>
    </row>
    <row r="20" spans="2:12" ht="20.100000000000001" customHeight="1" x14ac:dyDescent="0.3">
      <c r="B20" s="43">
        <v>14</v>
      </c>
      <c r="C20" s="97" t="s">
        <v>20</v>
      </c>
      <c r="D20" s="78">
        <v>1883394.65</v>
      </c>
      <c r="E20" s="78">
        <v>2379786.2799999998</v>
      </c>
      <c r="F20" s="78">
        <v>2714714.9</v>
      </c>
      <c r="G20" s="78">
        <v>517001.43</v>
      </c>
      <c r="H20" s="78">
        <v>702414.96</v>
      </c>
      <c r="I20" s="78">
        <v>836359.68000000005</v>
      </c>
      <c r="J20" s="77">
        <v>1600585.9</v>
      </c>
      <c r="K20" s="77">
        <v>2484861.52</v>
      </c>
      <c r="L20" s="159">
        <v>2619608.61</v>
      </c>
    </row>
    <row r="21" spans="2:12" ht="20.100000000000001" customHeight="1" x14ac:dyDescent="0.3">
      <c r="B21" s="43">
        <v>15</v>
      </c>
      <c r="C21" s="97" t="s">
        <v>21</v>
      </c>
      <c r="D21" s="78">
        <v>1180840.69</v>
      </c>
      <c r="E21" s="78">
        <v>1412824.95</v>
      </c>
      <c r="F21" s="78">
        <v>1610348.02</v>
      </c>
      <c r="G21" s="78">
        <v>362329.73</v>
      </c>
      <c r="H21" s="78">
        <v>461942.27</v>
      </c>
      <c r="I21" s="78">
        <v>504756.74</v>
      </c>
      <c r="J21" s="77">
        <v>1019638.31</v>
      </c>
      <c r="K21" s="77">
        <v>1184406.3899999999</v>
      </c>
      <c r="L21" s="159">
        <v>1341766.1599999999</v>
      </c>
    </row>
    <row r="22" spans="2:12" ht="20.100000000000001" customHeight="1" x14ac:dyDescent="0.3">
      <c r="B22" s="43">
        <v>16</v>
      </c>
      <c r="C22" s="97" t="s">
        <v>22</v>
      </c>
      <c r="D22" s="78">
        <v>336438.14</v>
      </c>
      <c r="E22" s="78">
        <v>384792.92</v>
      </c>
      <c r="F22" s="78">
        <v>411078.14</v>
      </c>
      <c r="G22" s="78">
        <v>83116.2</v>
      </c>
      <c r="H22" s="78">
        <v>106526.71</v>
      </c>
      <c r="I22" s="78">
        <v>114496.8</v>
      </c>
      <c r="J22" s="77">
        <v>289923.68</v>
      </c>
      <c r="K22" s="77">
        <v>343298.27</v>
      </c>
      <c r="L22" s="159">
        <v>345018.63</v>
      </c>
    </row>
    <row r="23" spans="2:12" ht="20.100000000000001" customHeight="1" x14ac:dyDescent="0.3">
      <c r="B23" s="43">
        <v>17</v>
      </c>
      <c r="C23" s="97" t="s">
        <v>23</v>
      </c>
      <c r="D23" s="78">
        <v>363096.05</v>
      </c>
      <c r="E23" s="78">
        <v>448953.75</v>
      </c>
      <c r="F23" s="78">
        <v>499055.13</v>
      </c>
      <c r="G23" s="78">
        <v>121403.73</v>
      </c>
      <c r="H23" s="78">
        <v>155403.76</v>
      </c>
      <c r="I23" s="78">
        <v>181907.45</v>
      </c>
      <c r="J23" s="77">
        <v>319861.21000000002</v>
      </c>
      <c r="K23" s="77">
        <v>376075.27</v>
      </c>
      <c r="L23" s="159">
        <v>426909.2</v>
      </c>
    </row>
    <row r="24" spans="2:12" ht="20.100000000000001" customHeight="1" x14ac:dyDescent="0.3">
      <c r="B24" s="43">
        <v>18</v>
      </c>
      <c r="C24" s="97" t="s">
        <v>24</v>
      </c>
      <c r="D24" s="78">
        <v>217501.86</v>
      </c>
      <c r="E24" s="78">
        <v>266372.17</v>
      </c>
      <c r="F24" s="78">
        <v>284525.13</v>
      </c>
      <c r="G24" s="78">
        <v>76888.3</v>
      </c>
      <c r="H24" s="78">
        <v>90235.13</v>
      </c>
      <c r="I24" s="78">
        <v>85104.48</v>
      </c>
      <c r="J24" s="77">
        <v>203269.44</v>
      </c>
      <c r="K24" s="77">
        <v>227799.47</v>
      </c>
      <c r="L24" s="159">
        <v>246188.47</v>
      </c>
    </row>
    <row r="25" spans="2:12" s="5" customFormat="1" ht="20.100000000000001" customHeight="1" x14ac:dyDescent="0.3">
      <c r="B25" s="59">
        <v>19</v>
      </c>
      <c r="C25" s="126" t="s">
        <v>29</v>
      </c>
      <c r="D25" s="78">
        <v>108064.69</v>
      </c>
      <c r="E25" s="78">
        <v>135201.98000000001</v>
      </c>
      <c r="F25" s="78">
        <v>151212.49900000001</v>
      </c>
      <c r="G25" s="78">
        <v>32365.89</v>
      </c>
      <c r="H25" s="78">
        <v>29287.578000000001</v>
      </c>
      <c r="I25" s="78">
        <v>40712.275500000003</v>
      </c>
      <c r="J25" s="77">
        <v>104756.769</v>
      </c>
      <c r="K25" s="127">
        <v>121136.783</v>
      </c>
      <c r="L25" s="159">
        <v>131987.31770000001</v>
      </c>
    </row>
    <row r="26" spans="2:12" ht="20.100000000000001" customHeight="1" x14ac:dyDescent="0.3">
      <c r="B26" s="43">
        <v>20</v>
      </c>
      <c r="C26" s="96" t="s">
        <v>49</v>
      </c>
      <c r="D26" s="78">
        <v>144637.31</v>
      </c>
      <c r="E26" s="78">
        <v>200576.31</v>
      </c>
      <c r="F26" s="78">
        <v>252065.25</v>
      </c>
      <c r="G26" s="78">
        <v>61123.55</v>
      </c>
      <c r="H26" s="78">
        <v>74710.39</v>
      </c>
      <c r="I26" s="78">
        <v>80715.520000000004</v>
      </c>
      <c r="J26" s="77">
        <v>151794.53</v>
      </c>
      <c r="K26" s="77">
        <v>194592.37</v>
      </c>
      <c r="L26" s="159">
        <v>233112.53</v>
      </c>
    </row>
    <row r="27" spans="2:12" ht="20.100000000000001" customHeight="1" thickBot="1" x14ac:dyDescent="0.35">
      <c r="B27" s="44">
        <v>21</v>
      </c>
      <c r="C27" s="131" t="s">
        <v>44</v>
      </c>
      <c r="D27" s="79">
        <v>255490.05</v>
      </c>
      <c r="E27" s="79">
        <v>277657.21999999997</v>
      </c>
      <c r="F27" s="79">
        <v>310294</v>
      </c>
      <c r="G27" s="79">
        <v>99689.74</v>
      </c>
      <c r="H27" s="79">
        <v>114934.24</v>
      </c>
      <c r="I27" s="79">
        <v>117468</v>
      </c>
      <c r="J27" s="80">
        <v>162567.72</v>
      </c>
      <c r="K27" s="80">
        <v>188620.61</v>
      </c>
      <c r="L27" s="169">
        <v>218399</v>
      </c>
    </row>
    <row r="28" spans="2:12" ht="20.25" customHeight="1" thickBot="1" x14ac:dyDescent="0.35">
      <c r="B28" s="218" t="s">
        <v>46</v>
      </c>
      <c r="C28" s="219"/>
      <c r="D28" s="81">
        <f t="shared" ref="D28:J28" si="1">SUM(D18:D27)</f>
        <v>5477647.5599999996</v>
      </c>
      <c r="E28" s="81">
        <f t="shared" si="1"/>
        <v>6624159.9999999991</v>
      </c>
      <c r="F28" s="81">
        <f t="shared" si="1"/>
        <v>7466276.0389999999</v>
      </c>
      <c r="G28" s="81">
        <f t="shared" si="1"/>
        <v>1655315.8599999999</v>
      </c>
      <c r="H28" s="81">
        <f t="shared" si="1"/>
        <v>2083193.138</v>
      </c>
      <c r="I28" s="81">
        <f t="shared" si="1"/>
        <v>2377812.6355000003</v>
      </c>
      <c r="J28" s="81">
        <f t="shared" si="1"/>
        <v>4732078.4390000002</v>
      </c>
      <c r="K28" s="81">
        <f>SUM(K18:K27)</f>
        <v>6126783.6229999987</v>
      </c>
      <c r="L28" s="170">
        <f>SUM(L18:L27)</f>
        <v>6654848.1476999996</v>
      </c>
    </row>
    <row r="29" spans="2:12" ht="18.75" customHeight="1" thickBot="1" x14ac:dyDescent="0.35">
      <c r="B29" s="216" t="s">
        <v>45</v>
      </c>
      <c r="C29" s="217"/>
      <c r="D29" s="84">
        <f>D28+D16</f>
        <v>6299318.1899999995</v>
      </c>
      <c r="E29" s="84">
        <f t="shared" ref="E29:I29" si="2">E28+E16</f>
        <v>7561433.7043999992</v>
      </c>
      <c r="F29" s="84">
        <f>F28+F16</f>
        <v>8502193.251699999</v>
      </c>
      <c r="G29" s="84">
        <f t="shared" si="2"/>
        <v>1894308.4979999999</v>
      </c>
      <c r="H29" s="84">
        <f>H28+H16</f>
        <v>2323647.4314000001</v>
      </c>
      <c r="I29" s="84">
        <f t="shared" si="2"/>
        <v>2637218.9153000005</v>
      </c>
      <c r="J29" s="84">
        <f>J28+J16</f>
        <v>5366672.8670000006</v>
      </c>
      <c r="K29" s="84">
        <f>K28+K16</f>
        <v>6861388.2063999986</v>
      </c>
      <c r="L29" s="171">
        <f>L28+L16</f>
        <v>7476925.0193999996</v>
      </c>
    </row>
    <row r="30" spans="2:12" ht="17.100000000000001" hidden="1" customHeight="1" x14ac:dyDescent="0.3">
      <c r="C30" s="6"/>
      <c r="D30" s="23" t="e">
        <f>SUM(D29-#REF!)/#REF!*100</f>
        <v>#REF!</v>
      </c>
      <c r="E30" s="23">
        <f>SUM(E29-D29)/D29*100</f>
        <v>20.035747938619366</v>
      </c>
      <c r="F30" s="23"/>
      <c r="G30" s="23" t="e">
        <f>SUM(G29-#REF!)/#REF!*100</f>
        <v>#REF!</v>
      </c>
      <c r="H30" s="23">
        <f>SUM(H29-G29)/G29*100</f>
        <v>22.664678633564375</v>
      </c>
      <c r="I30" s="23"/>
      <c r="J30" s="15" t="e">
        <f>SUM(J29-#REF!)/#REF!*100</f>
        <v>#REF!</v>
      </c>
      <c r="K30" s="15">
        <f>SUM(K29-J29)/J29*100</f>
        <v>27.851806444009174</v>
      </c>
    </row>
    <row r="31" spans="2:12" ht="17.100000000000001" customHeight="1" x14ac:dyDescent="0.3">
      <c r="B31" s="7"/>
      <c r="C31" s="90"/>
      <c r="D31" s="91"/>
      <c r="E31" s="91"/>
      <c r="F31" s="91"/>
      <c r="G31" s="60"/>
      <c r="H31" s="60"/>
      <c r="I31" s="60"/>
    </row>
    <row r="32" spans="2:12" ht="17.100000000000001" customHeight="1" x14ac:dyDescent="0.3">
      <c r="B32" s="215" t="s">
        <v>80</v>
      </c>
      <c r="C32" s="215"/>
      <c r="D32" s="215"/>
      <c r="E32" s="215"/>
      <c r="F32" s="215"/>
      <c r="G32" s="215"/>
      <c r="H32" s="215"/>
      <c r="I32" s="215"/>
      <c r="J32" s="215"/>
      <c r="K32" s="215"/>
      <c r="L32" s="215"/>
    </row>
    <row r="33" spans="2:12" ht="19.8" hidden="1" customHeight="1" x14ac:dyDescent="0.3">
      <c r="B33" s="9"/>
      <c r="C33" s="3"/>
      <c r="D33" s="23"/>
      <c r="E33" s="23">
        <f>(E16-D16)/D16*100</f>
        <v>14.069271820023546</v>
      </c>
      <c r="F33" s="23">
        <f>(F16-E16)/E16*100</f>
        <v>10.524514646780494</v>
      </c>
      <c r="G33" s="23"/>
      <c r="H33" s="23">
        <f>(H16-G16)/G16*100</f>
        <v>0.61159013609446811</v>
      </c>
      <c r="I33" s="23">
        <f>(I16-H16)/H16*100</f>
        <v>7.8817417364526268</v>
      </c>
      <c r="J33" s="23"/>
      <c r="K33" s="23">
        <f>(K16-J16)/J16*100</f>
        <v>15.759696427715863</v>
      </c>
      <c r="L33" s="23">
        <f>(L16-K16)/K16*100</f>
        <v>11.907397568246648</v>
      </c>
    </row>
    <row r="34" spans="2:12" ht="17.399999999999999" hidden="1" customHeight="1" x14ac:dyDescent="0.3">
      <c r="B34" s="7"/>
      <c r="C34" s="2"/>
      <c r="D34" s="10"/>
      <c r="E34" s="200">
        <f>(E28-D28)/D28*100</f>
        <v>20.930744949205888</v>
      </c>
      <c r="F34" s="200">
        <f>(F28-E28)/E28*100</f>
        <v>12.71279738110192</v>
      </c>
      <c r="G34" s="10"/>
      <c r="H34" s="200">
        <f>(H28-G28)/G28*100</f>
        <v>25.848678692657494</v>
      </c>
      <c r="I34" s="200">
        <f>(I28-H28)/H28*100</f>
        <v>14.142687594624762</v>
      </c>
      <c r="K34" s="200">
        <f>(K28-J28)/J28*100</f>
        <v>29.473416427449006</v>
      </c>
      <c r="L34" s="200">
        <f>(L28-K28)/K28*100</f>
        <v>8.6189517566385412</v>
      </c>
    </row>
    <row r="35" spans="2:12" ht="17.399999999999999" hidden="1" customHeight="1" x14ac:dyDescent="0.3">
      <c r="B35" s="6"/>
      <c r="C35" s="11"/>
      <c r="E35" s="200">
        <f>(E29-D29)/D29*100</f>
        <v>20.035747938619366</v>
      </c>
      <c r="F35" s="200">
        <f>(F29-E29)/E29*100</f>
        <v>12.441549897509141</v>
      </c>
      <c r="H35" s="200">
        <f>(H29-G29)/G29*100</f>
        <v>22.664678633564375</v>
      </c>
      <c r="I35" s="200">
        <f>(I29-H29)/H29*100</f>
        <v>13.494796140870355</v>
      </c>
      <c r="K35" s="200">
        <f>(K29-J29)/J29*100</f>
        <v>27.851806444009174</v>
      </c>
      <c r="L35" s="200">
        <f>(L29-K29)/K29*100</f>
        <v>8.9710244411743911</v>
      </c>
    </row>
  </sheetData>
  <mergeCells count="10">
    <mergeCell ref="B32:L32"/>
    <mergeCell ref="B29:C29"/>
    <mergeCell ref="B16:C16"/>
    <mergeCell ref="D3:F3"/>
    <mergeCell ref="B1:L1"/>
    <mergeCell ref="G3:I3"/>
    <mergeCell ref="J3:L3"/>
    <mergeCell ref="D2:K2"/>
    <mergeCell ref="B28:C28"/>
    <mergeCell ref="C17:L17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95" orientation="landscape" r:id="rId1"/>
  <rowBreaks count="1" manualBreakCount="1">
    <brk id="32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39"/>
  <sheetViews>
    <sheetView topLeftCell="A19" zoomScaleNormal="100" zoomScaleSheetLayoutView="100" workbookViewId="0">
      <selection activeCell="E27" sqref="E27"/>
    </sheetView>
  </sheetViews>
  <sheetFormatPr defaultColWidth="8.88671875" defaultRowHeight="15.6" x14ac:dyDescent="0.3"/>
  <cols>
    <col min="1" max="1" width="8.88671875" style="4"/>
    <col min="2" max="2" width="6.5546875" style="4" customWidth="1"/>
    <col min="3" max="3" width="33.109375" style="4" customWidth="1"/>
    <col min="4" max="4" width="12.88671875" style="4" customWidth="1"/>
    <col min="5" max="5" width="11.88671875" style="4" customWidth="1"/>
    <col min="6" max="6" width="12.33203125" style="4" customWidth="1"/>
    <col min="7" max="7" width="11.6640625" style="4" customWidth="1"/>
    <col min="8" max="10" width="11" style="4" customWidth="1"/>
    <col min="11" max="11" width="10.6640625" style="4" customWidth="1"/>
    <col min="12" max="12" width="10.44140625" style="4" customWidth="1"/>
    <col min="13" max="16384" width="8.88671875" style="4"/>
  </cols>
  <sheetData>
    <row r="1" spans="2:13" s="12" customFormat="1" ht="21" customHeight="1" x14ac:dyDescent="0.3">
      <c r="B1" s="232" t="s">
        <v>55</v>
      </c>
      <c r="C1" s="233"/>
      <c r="D1" s="233"/>
      <c r="E1" s="233"/>
      <c r="F1" s="233"/>
      <c r="G1" s="233"/>
      <c r="H1" s="233"/>
      <c r="I1" s="233"/>
      <c r="J1" s="233"/>
      <c r="K1" s="233"/>
      <c r="L1" s="234"/>
    </row>
    <row r="2" spans="2:13" ht="22.5" customHeight="1" x14ac:dyDescent="0.3">
      <c r="B2" s="237" t="s">
        <v>0</v>
      </c>
      <c r="C2" s="238"/>
      <c r="D2" s="238"/>
      <c r="E2" s="238"/>
      <c r="F2" s="238"/>
      <c r="G2" s="238"/>
      <c r="H2" s="238"/>
      <c r="I2" s="238"/>
      <c r="J2" s="238"/>
      <c r="K2" s="238"/>
      <c r="L2" s="202" t="s">
        <v>1</v>
      </c>
    </row>
    <row r="3" spans="2:13" ht="34.200000000000003" customHeight="1" x14ac:dyDescent="0.3">
      <c r="B3" s="185" t="s">
        <v>25</v>
      </c>
      <c r="C3" s="191" t="s">
        <v>4</v>
      </c>
      <c r="D3" s="235" t="s">
        <v>34</v>
      </c>
      <c r="E3" s="235"/>
      <c r="F3" s="235"/>
      <c r="G3" s="235" t="s">
        <v>35</v>
      </c>
      <c r="H3" s="235"/>
      <c r="I3" s="235"/>
      <c r="J3" s="235" t="s">
        <v>43</v>
      </c>
      <c r="K3" s="235"/>
      <c r="L3" s="236"/>
    </row>
    <row r="4" spans="2:13" ht="23.25" customHeight="1" thickBot="1" x14ac:dyDescent="0.35">
      <c r="B4" s="58" t="s">
        <v>2</v>
      </c>
      <c r="C4" s="150" t="s">
        <v>71</v>
      </c>
      <c r="D4" s="88">
        <v>2023</v>
      </c>
      <c r="E4" s="88">
        <v>2024</v>
      </c>
      <c r="F4" s="88">
        <v>2025</v>
      </c>
      <c r="G4" s="88">
        <v>2023</v>
      </c>
      <c r="H4" s="88">
        <v>2024</v>
      </c>
      <c r="I4" s="88">
        <v>2025</v>
      </c>
      <c r="J4" s="88">
        <v>2023</v>
      </c>
      <c r="K4" s="88">
        <v>2024</v>
      </c>
      <c r="L4" s="89">
        <v>2025</v>
      </c>
      <c r="M4" s="14"/>
    </row>
    <row r="5" spans="2:13" ht="20.100000000000001" customHeight="1" x14ac:dyDescent="0.3">
      <c r="B5" s="47">
        <v>1</v>
      </c>
      <c r="C5" s="133" t="s">
        <v>9</v>
      </c>
      <c r="D5" s="106">
        <v>66594.559999999998</v>
      </c>
      <c r="E5" s="106">
        <v>70825.868000000002</v>
      </c>
      <c r="F5" s="106">
        <v>77623.214900000006</v>
      </c>
      <c r="G5" s="106">
        <v>1920.16</v>
      </c>
      <c r="H5" s="106">
        <v>1854.43</v>
      </c>
      <c r="I5" s="106">
        <v>1638.1688999999999</v>
      </c>
      <c r="J5" s="107">
        <v>1017.63</v>
      </c>
      <c r="K5" s="107">
        <v>898.67700000000002</v>
      </c>
      <c r="L5" s="163">
        <v>653.06659999999999</v>
      </c>
      <c r="M5" s="15"/>
    </row>
    <row r="6" spans="2:13" ht="20.100000000000001" customHeight="1" x14ac:dyDescent="0.3">
      <c r="B6" s="45">
        <v>2</v>
      </c>
      <c r="C6" s="97" t="s">
        <v>30</v>
      </c>
      <c r="D6" s="109">
        <v>57895</v>
      </c>
      <c r="E6" s="109">
        <v>61552.46</v>
      </c>
      <c r="F6" s="109">
        <v>66449.87</v>
      </c>
      <c r="G6" s="109">
        <v>521</v>
      </c>
      <c r="H6" s="109">
        <v>575.05999999999995</v>
      </c>
      <c r="I6" s="109">
        <v>556.13</v>
      </c>
      <c r="J6" s="85">
        <v>230</v>
      </c>
      <c r="K6" s="85">
        <v>335.82</v>
      </c>
      <c r="L6" s="161">
        <v>160.44999999999999</v>
      </c>
      <c r="M6" s="15"/>
    </row>
    <row r="7" spans="2:13" ht="20.100000000000001" customHeight="1" x14ac:dyDescent="0.3">
      <c r="B7" s="43">
        <v>3</v>
      </c>
      <c r="C7" s="97" t="s">
        <v>72</v>
      </c>
      <c r="D7" s="109">
        <v>29162.28</v>
      </c>
      <c r="E7" s="109">
        <v>36055.99</v>
      </c>
      <c r="F7" s="109">
        <v>47836.27</v>
      </c>
      <c r="G7" s="109">
        <v>262.56</v>
      </c>
      <c r="H7" s="109">
        <v>361.07</v>
      </c>
      <c r="I7" s="109">
        <v>498.46</v>
      </c>
      <c r="J7" s="85">
        <v>71.819999999999993</v>
      </c>
      <c r="K7" s="85">
        <v>124.9</v>
      </c>
      <c r="L7" s="161">
        <v>163.53</v>
      </c>
      <c r="M7" s="15"/>
    </row>
    <row r="8" spans="2:13" ht="20.100000000000001" customHeight="1" x14ac:dyDescent="0.3">
      <c r="B8" s="45">
        <v>4</v>
      </c>
      <c r="C8" s="128" t="s">
        <v>11</v>
      </c>
      <c r="D8" s="109">
        <v>15132.13</v>
      </c>
      <c r="E8" s="109">
        <v>15961.89</v>
      </c>
      <c r="F8" s="109">
        <v>17936.939999999999</v>
      </c>
      <c r="G8" s="109">
        <v>511.14</v>
      </c>
      <c r="H8" s="109">
        <v>421.21</v>
      </c>
      <c r="I8" s="109">
        <v>364.11</v>
      </c>
      <c r="J8" s="85">
        <v>109.2</v>
      </c>
      <c r="K8" s="85">
        <v>126.47</v>
      </c>
      <c r="L8" s="161">
        <v>117.94</v>
      </c>
      <c r="M8" s="15"/>
    </row>
    <row r="9" spans="2:13" ht="20.100000000000001" customHeight="1" x14ac:dyDescent="0.3">
      <c r="B9" s="43">
        <v>5</v>
      </c>
      <c r="C9" s="129" t="s">
        <v>12</v>
      </c>
      <c r="D9" s="109">
        <v>260341.83</v>
      </c>
      <c r="E9" s="109">
        <v>308311.8</v>
      </c>
      <c r="F9" s="109">
        <v>349004.79999999999</v>
      </c>
      <c r="G9" s="109">
        <v>4183.7700000000004</v>
      </c>
      <c r="H9" s="109">
        <v>4528.87</v>
      </c>
      <c r="I9" s="109">
        <v>4375.54</v>
      </c>
      <c r="J9" s="85">
        <v>1205.01</v>
      </c>
      <c r="K9" s="85">
        <v>1255.33</v>
      </c>
      <c r="L9" s="158">
        <v>1040.3800000000001</v>
      </c>
      <c r="M9" s="15"/>
    </row>
    <row r="10" spans="2:13" ht="20.100000000000001" customHeight="1" x14ac:dyDescent="0.3">
      <c r="B10" s="43">
        <v>6</v>
      </c>
      <c r="C10" s="97" t="s">
        <v>13</v>
      </c>
      <c r="D10" s="109">
        <v>145962.26</v>
      </c>
      <c r="E10" s="109">
        <v>154526.59</v>
      </c>
      <c r="F10" s="109">
        <v>169468.47</v>
      </c>
      <c r="G10" s="109">
        <v>5204.43</v>
      </c>
      <c r="H10" s="109">
        <v>3956.19</v>
      </c>
      <c r="I10" s="109">
        <v>3604.84</v>
      </c>
      <c r="J10" s="85">
        <v>1334.24</v>
      </c>
      <c r="K10" s="85">
        <v>736.85</v>
      </c>
      <c r="L10" s="161">
        <v>818.07</v>
      </c>
      <c r="M10" s="15"/>
    </row>
    <row r="11" spans="2:13" ht="20.100000000000001" customHeight="1" x14ac:dyDescent="0.3">
      <c r="B11" s="45">
        <v>7</v>
      </c>
      <c r="C11" s="97" t="s">
        <v>14</v>
      </c>
      <c r="D11" s="109">
        <v>99058.34</v>
      </c>
      <c r="E11" s="109">
        <v>116084.57</v>
      </c>
      <c r="F11" s="109">
        <v>120861.78</v>
      </c>
      <c r="G11" s="109">
        <v>2292.91</v>
      </c>
      <c r="H11" s="109">
        <v>2578.42</v>
      </c>
      <c r="I11" s="109">
        <v>2402.08</v>
      </c>
      <c r="J11" s="85">
        <v>1021.27</v>
      </c>
      <c r="K11" s="85">
        <v>1129.18</v>
      </c>
      <c r="L11" s="158">
        <v>1004.55</v>
      </c>
      <c r="M11" s="15"/>
    </row>
    <row r="12" spans="2:13" ht="20.100000000000001" customHeight="1" x14ac:dyDescent="0.3">
      <c r="B12" s="43">
        <v>8</v>
      </c>
      <c r="C12" s="97" t="s">
        <v>15</v>
      </c>
      <c r="D12" s="109">
        <v>90179.42</v>
      </c>
      <c r="E12" s="109">
        <v>105453.26</v>
      </c>
      <c r="F12" s="109">
        <v>119367.42</v>
      </c>
      <c r="G12" s="109">
        <v>1458.15</v>
      </c>
      <c r="H12" s="109">
        <v>1041.6400000000001</v>
      </c>
      <c r="I12" s="109">
        <v>641.79999999999995</v>
      </c>
      <c r="J12" s="85">
        <v>468.15</v>
      </c>
      <c r="K12" s="85">
        <v>297.97000000000003</v>
      </c>
      <c r="L12" s="161">
        <v>166.21</v>
      </c>
      <c r="M12" s="15"/>
    </row>
    <row r="13" spans="2:13" s="5" customFormat="1" ht="20.100000000000001" customHeight="1" x14ac:dyDescent="0.3">
      <c r="B13" s="45">
        <v>9</v>
      </c>
      <c r="C13" s="97" t="s">
        <v>57</v>
      </c>
      <c r="D13" s="109">
        <v>8656.6741000000002</v>
      </c>
      <c r="E13" s="109">
        <v>9306.8220000000001</v>
      </c>
      <c r="F13" s="109">
        <v>9360.4822000000004</v>
      </c>
      <c r="G13" s="109">
        <v>443.26</v>
      </c>
      <c r="H13" s="109">
        <v>398.67</v>
      </c>
      <c r="I13" s="109">
        <v>386.2</v>
      </c>
      <c r="J13" s="85">
        <v>78.33</v>
      </c>
      <c r="K13" s="85">
        <v>41.88</v>
      </c>
      <c r="L13" s="162">
        <v>25.92</v>
      </c>
      <c r="M13" s="16"/>
    </row>
    <row r="14" spans="2:13" ht="20.100000000000001" customHeight="1" x14ac:dyDescent="0.3">
      <c r="B14" s="43">
        <v>10</v>
      </c>
      <c r="C14" s="97" t="s">
        <v>26</v>
      </c>
      <c r="D14" s="109">
        <v>115876.18</v>
      </c>
      <c r="E14" s="109">
        <v>138432.21</v>
      </c>
      <c r="F14" s="109">
        <v>146725.48000000001</v>
      </c>
      <c r="G14" s="109">
        <v>2419.86</v>
      </c>
      <c r="H14" s="109">
        <v>2270.9699999999998</v>
      </c>
      <c r="I14" s="109">
        <v>2465.4699999999998</v>
      </c>
      <c r="J14" s="85">
        <v>772.54</v>
      </c>
      <c r="K14" s="85">
        <v>619.29999999999995</v>
      </c>
      <c r="L14" s="161">
        <v>270.79000000000002</v>
      </c>
      <c r="M14" s="15"/>
    </row>
    <row r="15" spans="2:13" ht="20.100000000000001" customHeight="1" thickBot="1" x14ac:dyDescent="0.35">
      <c r="B15" s="44">
        <v>11</v>
      </c>
      <c r="C15" s="132" t="s">
        <v>17</v>
      </c>
      <c r="D15" s="110">
        <v>107698.18</v>
      </c>
      <c r="E15" s="110">
        <v>117412.79</v>
      </c>
      <c r="F15" s="110">
        <v>124655.12</v>
      </c>
      <c r="G15" s="110">
        <v>3708.26</v>
      </c>
      <c r="H15" s="110">
        <v>3620.34</v>
      </c>
      <c r="I15" s="110">
        <v>2799.83</v>
      </c>
      <c r="J15" s="111">
        <v>1293.6099999999999</v>
      </c>
      <c r="K15" s="111">
        <v>1134.58</v>
      </c>
      <c r="L15" s="174">
        <v>790.52</v>
      </c>
      <c r="M15" s="15"/>
    </row>
    <row r="16" spans="2:13" ht="20.100000000000001" customHeight="1" thickBot="1" x14ac:dyDescent="0.35">
      <c r="B16" s="218" t="s">
        <v>62</v>
      </c>
      <c r="C16" s="219"/>
      <c r="D16" s="113">
        <f t="shared" ref="D16:L16" si="0">SUM(D5:D15)</f>
        <v>996556.85409999988</v>
      </c>
      <c r="E16" s="113">
        <f t="shared" si="0"/>
        <v>1133924.25</v>
      </c>
      <c r="F16" s="113">
        <f t="shared" si="0"/>
        <v>1249289.8470999999</v>
      </c>
      <c r="G16" s="113">
        <f t="shared" si="0"/>
        <v>22925.5</v>
      </c>
      <c r="H16" s="113">
        <f t="shared" si="0"/>
        <v>21606.87</v>
      </c>
      <c r="I16" s="113">
        <f t="shared" si="0"/>
        <v>19732.628900000003</v>
      </c>
      <c r="J16" s="113">
        <f t="shared" si="0"/>
        <v>7601.7999999999993</v>
      </c>
      <c r="K16" s="113">
        <f t="shared" si="0"/>
        <v>6700.9570000000003</v>
      </c>
      <c r="L16" s="114">
        <f t="shared" si="0"/>
        <v>5211.4266000000007</v>
      </c>
      <c r="M16" s="15"/>
    </row>
    <row r="17" spans="2:13" ht="20.100000000000001" customHeight="1" thickBot="1" x14ac:dyDescent="0.35">
      <c r="B17" s="68" t="s">
        <v>3</v>
      </c>
      <c r="C17" s="228" t="s">
        <v>18</v>
      </c>
      <c r="D17" s="229"/>
      <c r="E17" s="229"/>
      <c r="F17" s="229"/>
      <c r="G17" s="229"/>
      <c r="H17" s="229"/>
      <c r="I17" s="229"/>
      <c r="J17" s="229"/>
      <c r="K17" s="229"/>
      <c r="L17" s="230"/>
      <c r="M17" s="15"/>
    </row>
    <row r="18" spans="2:13" ht="20.100000000000001" customHeight="1" x14ac:dyDescent="0.3">
      <c r="B18" s="42">
        <v>12</v>
      </c>
      <c r="C18" s="130" t="s">
        <v>19</v>
      </c>
      <c r="D18" s="115">
        <v>1317325.53</v>
      </c>
      <c r="E18" s="115">
        <v>1477208.6</v>
      </c>
      <c r="F18" s="115">
        <v>1609929.88</v>
      </c>
      <c r="G18" s="115">
        <v>18604.23</v>
      </c>
      <c r="H18" s="115">
        <v>15127.12</v>
      </c>
      <c r="I18" s="115">
        <v>14490.11</v>
      </c>
      <c r="J18" s="115">
        <v>3558.92</v>
      </c>
      <c r="K18" s="115">
        <v>3247.47</v>
      </c>
      <c r="L18" s="160">
        <v>3685.45</v>
      </c>
      <c r="M18" s="15"/>
    </row>
    <row r="19" spans="2:13" ht="20.100000000000001" customHeight="1" x14ac:dyDescent="0.3">
      <c r="B19" s="43">
        <v>13</v>
      </c>
      <c r="C19" s="97" t="s">
        <v>33</v>
      </c>
      <c r="D19" s="85">
        <v>52365.87</v>
      </c>
      <c r="E19" s="85">
        <v>63036.97</v>
      </c>
      <c r="F19" s="85">
        <v>76809.78</v>
      </c>
      <c r="G19" s="85">
        <v>1122.8399999999999</v>
      </c>
      <c r="H19" s="85">
        <v>1353.47</v>
      </c>
      <c r="I19" s="85">
        <v>1554.43</v>
      </c>
      <c r="J19" s="85">
        <v>356.92</v>
      </c>
      <c r="K19" s="85">
        <v>454.33</v>
      </c>
      <c r="L19" s="135">
        <v>571.54999999999995</v>
      </c>
      <c r="M19" s="15"/>
    </row>
    <row r="20" spans="2:13" ht="20.100000000000001" customHeight="1" x14ac:dyDescent="0.3">
      <c r="B20" s="43">
        <v>14</v>
      </c>
      <c r="C20" s="97" t="s">
        <v>20</v>
      </c>
      <c r="D20" s="85">
        <v>2466081.48</v>
      </c>
      <c r="E20" s="85">
        <v>3617623.06</v>
      </c>
      <c r="F20" s="85">
        <v>3910198.94</v>
      </c>
      <c r="G20" s="85">
        <v>18019.03</v>
      </c>
      <c r="H20" s="85">
        <v>31173.32</v>
      </c>
      <c r="I20" s="85">
        <v>35222.639999999999</v>
      </c>
      <c r="J20" s="85">
        <v>4368.43</v>
      </c>
      <c r="K20" s="85">
        <v>8091.74</v>
      </c>
      <c r="L20" s="159">
        <v>11320.43</v>
      </c>
      <c r="M20" s="15"/>
    </row>
    <row r="21" spans="2:13" ht="20.100000000000001" customHeight="1" x14ac:dyDescent="0.3">
      <c r="B21" s="43">
        <v>15</v>
      </c>
      <c r="C21" s="97" t="s">
        <v>21</v>
      </c>
      <c r="D21" s="85">
        <v>1584206.65</v>
      </c>
      <c r="E21" s="85">
        <v>1871514.58</v>
      </c>
      <c r="F21" s="85">
        <v>2118239.9700000002</v>
      </c>
      <c r="G21" s="85">
        <v>31183.7</v>
      </c>
      <c r="H21" s="85">
        <v>27961.68</v>
      </c>
      <c r="I21" s="85">
        <v>24166.18</v>
      </c>
      <c r="J21" s="85">
        <v>5155.07</v>
      </c>
      <c r="K21" s="85">
        <v>5377.79</v>
      </c>
      <c r="L21" s="159">
        <v>5589.41</v>
      </c>
      <c r="M21" s="15"/>
    </row>
    <row r="22" spans="2:13" ht="20.100000000000001" customHeight="1" x14ac:dyDescent="0.3">
      <c r="B22" s="43">
        <v>16</v>
      </c>
      <c r="C22" s="97" t="s">
        <v>22</v>
      </c>
      <c r="D22" s="85">
        <v>457804.05</v>
      </c>
      <c r="E22" s="85">
        <v>514935.15</v>
      </c>
      <c r="F22" s="85">
        <v>554018.43000000005</v>
      </c>
      <c r="G22" s="85">
        <v>5826.27</v>
      </c>
      <c r="H22" s="85">
        <v>6693.38</v>
      </c>
      <c r="I22" s="85">
        <v>11046.39</v>
      </c>
      <c r="J22" s="85">
        <v>1714.96</v>
      </c>
      <c r="K22" s="85">
        <v>1968.9</v>
      </c>
      <c r="L22" s="86">
        <v>3287.14</v>
      </c>
      <c r="M22" s="17"/>
    </row>
    <row r="23" spans="2:13" ht="20.100000000000001" customHeight="1" x14ac:dyDescent="0.3">
      <c r="B23" s="43">
        <v>17</v>
      </c>
      <c r="C23" s="97" t="s">
        <v>23</v>
      </c>
      <c r="D23" s="85">
        <v>489862.48</v>
      </c>
      <c r="E23" s="85">
        <v>600357.05000000005</v>
      </c>
      <c r="F23" s="85">
        <v>693624.18</v>
      </c>
      <c r="G23" s="85">
        <v>5768.32</v>
      </c>
      <c r="H23" s="85">
        <v>5274.78</v>
      </c>
      <c r="I23" s="85">
        <v>6133.85</v>
      </c>
      <c r="J23" s="85">
        <v>1193.3</v>
      </c>
      <c r="K23" s="85">
        <v>1270.57</v>
      </c>
      <c r="L23" s="86">
        <v>1343.44</v>
      </c>
      <c r="M23" s="15"/>
    </row>
    <row r="24" spans="2:13" ht="20.100000000000001" customHeight="1" x14ac:dyDescent="0.3">
      <c r="B24" s="43">
        <v>18</v>
      </c>
      <c r="C24" s="97" t="s">
        <v>24</v>
      </c>
      <c r="D24" s="85">
        <v>354786.13</v>
      </c>
      <c r="E24" s="85">
        <v>405492.99</v>
      </c>
      <c r="F24" s="85">
        <v>423422.3</v>
      </c>
      <c r="G24" s="85">
        <v>4394.57</v>
      </c>
      <c r="H24" s="85">
        <v>3982.56</v>
      </c>
      <c r="I24" s="85">
        <v>3935.61</v>
      </c>
      <c r="J24" s="85">
        <v>1658.09</v>
      </c>
      <c r="K24" s="85">
        <v>1329.73</v>
      </c>
      <c r="L24" s="135">
        <v>800.14</v>
      </c>
      <c r="M24" s="15"/>
    </row>
    <row r="25" spans="2:13" ht="20.100000000000001" customHeight="1" x14ac:dyDescent="0.3">
      <c r="B25" s="43">
        <v>19</v>
      </c>
      <c r="C25" s="97" t="s">
        <v>29</v>
      </c>
      <c r="D25" s="85">
        <v>156037.092</v>
      </c>
      <c r="E25" s="85">
        <v>177841.65900000001</v>
      </c>
      <c r="F25" s="85">
        <v>191476.2885</v>
      </c>
      <c r="G25" s="85">
        <v>5298.62</v>
      </c>
      <c r="H25" s="85">
        <v>4784.88</v>
      </c>
      <c r="I25" s="85">
        <v>6435.56</v>
      </c>
      <c r="J25" s="85">
        <v>1228.27</v>
      </c>
      <c r="K25" s="85">
        <v>1347.61</v>
      </c>
      <c r="L25" s="159">
        <v>1692.8492000000001</v>
      </c>
      <c r="M25" s="15"/>
    </row>
    <row r="26" spans="2:13" ht="20.100000000000001" customHeight="1" x14ac:dyDescent="0.3">
      <c r="B26" s="43">
        <v>20</v>
      </c>
      <c r="C26" s="96" t="s">
        <v>49</v>
      </c>
      <c r="D26" s="85">
        <v>239941.66</v>
      </c>
      <c r="E26" s="85">
        <v>296115.09999999998</v>
      </c>
      <c r="F26" s="85">
        <v>343818.65</v>
      </c>
      <c r="G26" s="85">
        <v>3884.45</v>
      </c>
      <c r="H26" s="85">
        <v>3718.36</v>
      </c>
      <c r="I26" s="85">
        <v>4433.58</v>
      </c>
      <c r="J26" s="85">
        <v>1304.05</v>
      </c>
      <c r="K26" s="85">
        <v>1160.46</v>
      </c>
      <c r="L26" s="159">
        <v>1229.92</v>
      </c>
      <c r="M26" s="15"/>
    </row>
    <row r="27" spans="2:13" ht="20.100000000000001" customHeight="1" thickBot="1" x14ac:dyDescent="0.35">
      <c r="B27" s="69">
        <v>21</v>
      </c>
      <c r="C27" s="134" t="s">
        <v>44</v>
      </c>
      <c r="D27" s="117">
        <v>330502.17210000003</v>
      </c>
      <c r="E27" s="117">
        <v>363578</v>
      </c>
      <c r="F27" s="117">
        <v>411661</v>
      </c>
      <c r="G27" s="117">
        <v>10969</v>
      </c>
      <c r="H27" s="117">
        <v>8917</v>
      </c>
      <c r="I27" s="117">
        <v>6695</v>
      </c>
      <c r="J27" s="117">
        <v>1495</v>
      </c>
      <c r="K27" s="117">
        <v>644</v>
      </c>
      <c r="L27" s="201">
        <v>337</v>
      </c>
      <c r="M27" s="15"/>
    </row>
    <row r="28" spans="2:13" ht="20.100000000000001" customHeight="1" thickBot="1" x14ac:dyDescent="0.35">
      <c r="B28" s="218" t="s">
        <v>46</v>
      </c>
      <c r="C28" s="219"/>
      <c r="D28" s="113">
        <f t="shared" ref="D28:L28" si="1">SUM(D18:D27)</f>
        <v>7448913.114099999</v>
      </c>
      <c r="E28" s="113">
        <f t="shared" si="1"/>
        <v>9387703.159</v>
      </c>
      <c r="F28" s="113">
        <f t="shared" si="1"/>
        <v>10333199.418500001</v>
      </c>
      <c r="G28" s="113">
        <f t="shared" si="1"/>
        <v>105071.03000000001</v>
      </c>
      <c r="H28" s="113">
        <f t="shared" si="1"/>
        <v>108986.55</v>
      </c>
      <c r="I28" s="113">
        <f t="shared" si="1"/>
        <v>114113.35</v>
      </c>
      <c r="J28" s="113">
        <f t="shared" si="1"/>
        <v>22033.01</v>
      </c>
      <c r="K28" s="113">
        <f t="shared" si="1"/>
        <v>24892.6</v>
      </c>
      <c r="L28" s="114">
        <f t="shared" si="1"/>
        <v>29857.3292</v>
      </c>
      <c r="M28" s="15"/>
    </row>
    <row r="29" spans="2:13" ht="20.100000000000001" customHeight="1" thickBot="1" x14ac:dyDescent="0.35">
      <c r="B29" s="216" t="s">
        <v>45</v>
      </c>
      <c r="C29" s="217"/>
      <c r="D29" s="119">
        <f t="shared" ref="D29:L29" si="2">SUM(D16+D28)</f>
        <v>8445469.9681999981</v>
      </c>
      <c r="E29" s="119">
        <f t="shared" si="2"/>
        <v>10521627.409</v>
      </c>
      <c r="F29" s="119">
        <f t="shared" si="2"/>
        <v>11582489.2656</v>
      </c>
      <c r="G29" s="119">
        <f t="shared" si="2"/>
        <v>127996.53000000001</v>
      </c>
      <c r="H29" s="119">
        <f t="shared" si="2"/>
        <v>130593.42</v>
      </c>
      <c r="I29" s="119">
        <f t="shared" si="2"/>
        <v>133845.97890000002</v>
      </c>
      <c r="J29" s="119">
        <f t="shared" si="2"/>
        <v>29634.809999999998</v>
      </c>
      <c r="K29" s="119">
        <f t="shared" si="2"/>
        <v>31593.557000000001</v>
      </c>
      <c r="L29" s="120">
        <f t="shared" si="2"/>
        <v>35068.755799999999</v>
      </c>
      <c r="M29" s="15"/>
    </row>
    <row r="30" spans="2:13" ht="20.100000000000001" customHeight="1" x14ac:dyDescent="0.3">
      <c r="B30" s="175"/>
      <c r="C30" s="175"/>
      <c r="D30" s="176"/>
      <c r="E30" s="177"/>
      <c r="F30" s="177"/>
      <c r="G30" s="176"/>
      <c r="H30" s="176"/>
      <c r="I30" s="176"/>
      <c r="J30" s="176"/>
      <c r="K30" s="176"/>
      <c r="L30" s="176"/>
      <c r="M30" s="15"/>
    </row>
    <row r="31" spans="2:13" ht="18" customHeight="1" x14ac:dyDescent="0.3">
      <c r="B31" s="239" t="s">
        <v>75</v>
      </c>
      <c r="C31" s="239"/>
      <c r="D31" s="239"/>
      <c r="E31" s="239"/>
      <c r="F31" s="239"/>
      <c r="G31" s="239"/>
      <c r="H31" s="239"/>
      <c r="I31" s="239"/>
      <c r="J31" s="239"/>
      <c r="K31" s="239"/>
      <c r="L31" s="15"/>
      <c r="M31" s="15"/>
    </row>
    <row r="32" spans="2:13" ht="15.6" customHeight="1" x14ac:dyDescent="0.3">
      <c r="B32" s="231" t="s">
        <v>79</v>
      </c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15"/>
    </row>
    <row r="33" spans="2:13" hidden="1" x14ac:dyDescent="0.3">
      <c r="B33" s="7"/>
      <c r="C33" s="19"/>
      <c r="D33" s="63"/>
      <c r="E33" s="23">
        <f>(E16-D16)/D16*100</f>
        <v>13.784200603793744</v>
      </c>
      <c r="F33" s="23">
        <f>(F16-E16)/E16*100</f>
        <v>10.174012690883002</v>
      </c>
      <c r="G33" s="10"/>
      <c r="H33" s="23">
        <f>(H16-G16)/G16*100</f>
        <v>-5.7518047588929404</v>
      </c>
      <c r="I33" s="23">
        <f>(I16-H16)/H16*100</f>
        <v>-8.6742832256592273</v>
      </c>
      <c r="K33" s="23">
        <f>(K16-J16)/J16*100</f>
        <v>-11.850390696940186</v>
      </c>
      <c r="L33" s="23">
        <f>(L16-K16)/K16*100</f>
        <v>-22.228621971458697</v>
      </c>
      <c r="M33" s="17"/>
    </row>
    <row r="34" spans="2:13" hidden="1" x14ac:dyDescent="0.3">
      <c r="B34" s="7"/>
      <c r="C34" s="19"/>
      <c r="D34" s="63"/>
      <c r="E34" s="200">
        <f>(E28-D28)/D28*100</f>
        <v>26.02782466652857</v>
      </c>
      <c r="F34" s="200">
        <f>(F28-E28)/E28*100</f>
        <v>10.071646317380118</v>
      </c>
      <c r="G34" s="10"/>
      <c r="H34" s="200">
        <f>(H28-G28)/G28*100</f>
        <v>3.7265457471959578</v>
      </c>
      <c r="I34" s="200">
        <f>(I28-H28)/H28*100</f>
        <v>4.7040666944682643</v>
      </c>
      <c r="K34" s="200">
        <f>(K28-J28)/J28*100</f>
        <v>12.978662470538527</v>
      </c>
      <c r="L34" s="200">
        <f>(L28-K28)/K28*100</f>
        <v>19.944598796429467</v>
      </c>
      <c r="M34" s="17"/>
    </row>
    <row r="35" spans="2:13" ht="19.95" hidden="1" customHeight="1" x14ac:dyDescent="0.3">
      <c r="B35" s="7"/>
      <c r="C35" s="2"/>
      <c r="D35" s="10"/>
      <c r="E35" s="200">
        <f>(E29-D29)/D29*100</f>
        <v>24.583089497889691</v>
      </c>
      <c r="F35" s="200">
        <f>(F29-E29)/E29*100</f>
        <v>10.082678423801232</v>
      </c>
      <c r="G35" s="10"/>
      <c r="H35" s="200">
        <f>(H29-G29)/G29*100</f>
        <v>2.0288753140417044</v>
      </c>
      <c r="I35" s="200">
        <f>(I29-H29)/H29*100</f>
        <v>2.490599373230304</v>
      </c>
      <c r="K35" s="200">
        <f>(K29-J29)/J29*100</f>
        <v>6.609615516347171</v>
      </c>
      <c r="L35" s="200">
        <f>(L29-K29)/K29*100</f>
        <v>10.999707313741212</v>
      </c>
      <c r="M35" s="17"/>
    </row>
    <row r="36" spans="2:13" ht="16.2" customHeight="1" x14ac:dyDescent="0.3">
      <c r="B36" s="9"/>
      <c r="C36" s="3"/>
      <c r="D36" s="1"/>
      <c r="E36" s="1"/>
      <c r="F36" s="1"/>
      <c r="G36" s="18"/>
      <c r="H36" s="18"/>
      <c r="I36" s="18"/>
      <c r="L36" s="15"/>
      <c r="M36" s="15"/>
    </row>
    <row r="37" spans="2:13" ht="18.600000000000001" customHeight="1" x14ac:dyDescent="0.3">
      <c r="B37" s="7"/>
      <c r="C37" s="2"/>
      <c r="D37" s="10"/>
      <c r="E37" s="10"/>
      <c r="F37" s="10"/>
      <c r="G37" s="10"/>
      <c r="H37" s="10"/>
      <c r="I37" s="10"/>
      <c r="L37" s="17"/>
      <c r="M37" s="17"/>
    </row>
    <row r="38" spans="2:13" ht="28.2" customHeight="1" x14ac:dyDescent="0.3">
      <c r="B38" s="6"/>
    </row>
    <row r="39" spans="2:13" x14ac:dyDescent="0.3">
      <c r="C39" s="11"/>
    </row>
  </sheetData>
  <mergeCells count="11">
    <mergeCell ref="B32:L32"/>
    <mergeCell ref="B1:L1"/>
    <mergeCell ref="G3:I3"/>
    <mergeCell ref="J3:L3"/>
    <mergeCell ref="B2:K2"/>
    <mergeCell ref="B31:K31"/>
    <mergeCell ref="D3:F3"/>
    <mergeCell ref="B28:C28"/>
    <mergeCell ref="B29:C29"/>
    <mergeCell ref="B16:C16"/>
    <mergeCell ref="C17:L17"/>
  </mergeCells>
  <printOptions horizontalCentered="1" gridLines="1"/>
  <pageMargins left="0.43307086614173229" right="0.23622047244094491" top="0.35433070866141736" bottom="0.35433070866141736" header="0.31496062992125984" footer="0.31496062992125984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L36"/>
  <sheetViews>
    <sheetView topLeftCell="A19" zoomScaleNormal="100" zoomScaleSheetLayoutView="80" workbookViewId="0">
      <selection activeCell="M19" sqref="M1:Q1048576"/>
    </sheetView>
  </sheetViews>
  <sheetFormatPr defaultColWidth="8.88671875" defaultRowHeight="15.6" x14ac:dyDescent="0.3"/>
  <cols>
    <col min="1" max="1" width="8.88671875" style="4"/>
    <col min="2" max="2" width="6.6640625" style="4" customWidth="1"/>
    <col min="3" max="3" width="33.5546875" style="4" customWidth="1"/>
    <col min="4" max="11" width="11.33203125" style="4" customWidth="1"/>
    <col min="12" max="12" width="10.6640625" style="4" customWidth="1"/>
    <col min="13" max="16384" width="8.88671875" style="4"/>
  </cols>
  <sheetData>
    <row r="1" spans="2:12" s="12" customFormat="1" ht="22.2" customHeight="1" x14ac:dyDescent="0.3">
      <c r="B1" s="242" t="s">
        <v>47</v>
      </c>
      <c r="C1" s="243"/>
      <c r="D1" s="243"/>
      <c r="E1" s="243"/>
      <c r="F1" s="243"/>
      <c r="G1" s="243"/>
      <c r="H1" s="243"/>
      <c r="I1" s="243"/>
      <c r="J1" s="243"/>
      <c r="K1" s="243"/>
      <c r="L1" s="244"/>
    </row>
    <row r="2" spans="2:12" ht="20.100000000000001" customHeight="1" x14ac:dyDescent="0.3">
      <c r="B2" s="178" t="s">
        <v>0</v>
      </c>
      <c r="C2" s="179"/>
      <c r="D2" s="245"/>
      <c r="E2" s="246"/>
      <c r="F2" s="246"/>
      <c r="G2" s="246"/>
      <c r="H2" s="246"/>
      <c r="I2" s="246"/>
      <c r="J2" s="246"/>
      <c r="K2" s="247"/>
      <c r="L2" s="196" t="s">
        <v>1</v>
      </c>
    </row>
    <row r="3" spans="2:12" ht="29.4" customHeight="1" x14ac:dyDescent="0.3">
      <c r="B3" s="190" t="s">
        <v>25</v>
      </c>
      <c r="C3" s="191" t="s">
        <v>4</v>
      </c>
      <c r="D3" s="248" t="s">
        <v>5</v>
      </c>
      <c r="E3" s="248"/>
      <c r="F3" s="248"/>
      <c r="G3" s="235" t="s">
        <v>6</v>
      </c>
      <c r="H3" s="235"/>
      <c r="I3" s="235"/>
      <c r="J3" s="235" t="s">
        <v>36</v>
      </c>
      <c r="K3" s="235"/>
      <c r="L3" s="236"/>
    </row>
    <row r="4" spans="2:12" ht="20.25" customHeight="1" thickBot="1" x14ac:dyDescent="0.35">
      <c r="B4" s="58" t="s">
        <v>2</v>
      </c>
      <c r="C4" s="150" t="s">
        <v>71</v>
      </c>
      <c r="D4" s="88">
        <v>2023</v>
      </c>
      <c r="E4" s="88">
        <v>2024</v>
      </c>
      <c r="F4" s="88">
        <v>2025</v>
      </c>
      <c r="G4" s="88">
        <v>2023</v>
      </c>
      <c r="H4" s="88">
        <v>2024</v>
      </c>
      <c r="I4" s="88">
        <v>2025</v>
      </c>
      <c r="J4" s="88">
        <v>2023</v>
      </c>
      <c r="K4" s="88">
        <v>2024</v>
      </c>
      <c r="L4" s="195">
        <v>2025</v>
      </c>
    </row>
    <row r="5" spans="2:12" ht="20.100000000000001" customHeight="1" x14ac:dyDescent="0.3">
      <c r="B5" s="47">
        <v>1</v>
      </c>
      <c r="C5" s="133" t="s">
        <v>9</v>
      </c>
      <c r="D5" s="121">
        <v>4714.33</v>
      </c>
      <c r="E5" s="121">
        <v>5270.5649999999996</v>
      </c>
      <c r="F5" s="121">
        <v>5834.0425999999998</v>
      </c>
      <c r="G5" s="121">
        <v>810.36</v>
      </c>
      <c r="H5" s="121">
        <v>741.65499999999997</v>
      </c>
      <c r="I5" s="121">
        <v>898.06230000000005</v>
      </c>
      <c r="J5" s="107">
        <f>D5+G5</f>
        <v>5524.69</v>
      </c>
      <c r="K5" s="107">
        <f>E5+H5</f>
        <v>6012.2199999999993</v>
      </c>
      <c r="L5" s="108">
        <f>F5+I5</f>
        <v>6732.1049000000003</v>
      </c>
    </row>
    <row r="6" spans="2:12" s="5" customFormat="1" ht="20.100000000000001" customHeight="1" x14ac:dyDescent="0.3">
      <c r="B6" s="45">
        <v>2</v>
      </c>
      <c r="C6" s="97" t="s">
        <v>10</v>
      </c>
      <c r="D6" s="87">
        <v>4081.04</v>
      </c>
      <c r="E6" s="87">
        <v>4847.91</v>
      </c>
      <c r="F6" s="87">
        <v>5291.26</v>
      </c>
      <c r="G6" s="87">
        <v>629.11</v>
      </c>
      <c r="H6" s="87">
        <v>644.94000000000005</v>
      </c>
      <c r="I6" s="87">
        <v>850.49</v>
      </c>
      <c r="J6" s="85">
        <f t="shared" ref="J6:J15" si="0">D6+G6</f>
        <v>4710.1499999999996</v>
      </c>
      <c r="K6" s="85">
        <f t="shared" ref="K6:L15" si="1">E6+H6</f>
        <v>5492.85</v>
      </c>
      <c r="L6" s="86">
        <f t="shared" si="1"/>
        <v>6141.75</v>
      </c>
    </row>
    <row r="7" spans="2:12" ht="20.100000000000001" customHeight="1" x14ac:dyDescent="0.3">
      <c r="B7" s="43">
        <v>3</v>
      </c>
      <c r="C7" s="97" t="s">
        <v>72</v>
      </c>
      <c r="D7" s="87">
        <v>2319.65</v>
      </c>
      <c r="E7" s="87">
        <v>2927.54</v>
      </c>
      <c r="F7" s="87">
        <v>3597.14</v>
      </c>
      <c r="G7" s="87">
        <v>315.68</v>
      </c>
      <c r="H7" s="87">
        <v>584.29</v>
      </c>
      <c r="I7" s="87">
        <v>972.06</v>
      </c>
      <c r="J7" s="85">
        <f t="shared" si="0"/>
        <v>2635.33</v>
      </c>
      <c r="K7" s="85">
        <f t="shared" si="1"/>
        <v>3511.83</v>
      </c>
      <c r="L7" s="86">
        <f t="shared" si="1"/>
        <v>4569.2</v>
      </c>
    </row>
    <row r="8" spans="2:12" ht="20.100000000000001" customHeight="1" x14ac:dyDescent="0.3">
      <c r="B8" s="45">
        <v>4</v>
      </c>
      <c r="C8" s="128" t="s">
        <v>11</v>
      </c>
      <c r="D8" s="87">
        <v>1071.223</v>
      </c>
      <c r="E8" s="87">
        <v>1206.99</v>
      </c>
      <c r="F8" s="87">
        <v>1319.88</v>
      </c>
      <c r="G8" s="87">
        <v>74.52</v>
      </c>
      <c r="H8" s="87">
        <v>152.56</v>
      </c>
      <c r="I8" s="87">
        <v>169.2</v>
      </c>
      <c r="J8" s="85">
        <f t="shared" si="0"/>
        <v>1145.7429999999999</v>
      </c>
      <c r="K8" s="85">
        <f t="shared" si="1"/>
        <v>1359.55</v>
      </c>
      <c r="L8" s="86">
        <f t="shared" si="1"/>
        <v>1489.0800000000002</v>
      </c>
    </row>
    <row r="9" spans="2:12" ht="20.100000000000001" customHeight="1" x14ac:dyDescent="0.3">
      <c r="B9" s="43">
        <v>5</v>
      </c>
      <c r="C9" s="129" t="s">
        <v>12</v>
      </c>
      <c r="D9" s="87">
        <v>16803.63</v>
      </c>
      <c r="E9" s="87">
        <v>22188.26</v>
      </c>
      <c r="F9" s="87">
        <v>26365.25</v>
      </c>
      <c r="G9" s="87">
        <v>2330</v>
      </c>
      <c r="H9" s="87">
        <v>3079.27</v>
      </c>
      <c r="I9" s="87">
        <v>3801.25</v>
      </c>
      <c r="J9" s="85">
        <f t="shared" si="0"/>
        <v>19133.63</v>
      </c>
      <c r="K9" s="85">
        <f t="shared" si="1"/>
        <v>25267.53</v>
      </c>
      <c r="L9" s="135">
        <v>30166.5</v>
      </c>
    </row>
    <row r="10" spans="2:12" ht="20.100000000000001" customHeight="1" x14ac:dyDescent="0.3">
      <c r="B10" s="43">
        <v>6</v>
      </c>
      <c r="C10" s="97" t="s">
        <v>13</v>
      </c>
      <c r="D10" s="87">
        <v>9355.11</v>
      </c>
      <c r="E10" s="87">
        <v>11212.37</v>
      </c>
      <c r="F10" s="87">
        <v>12535.86</v>
      </c>
      <c r="G10" s="87">
        <v>756.81</v>
      </c>
      <c r="H10" s="87">
        <v>825.48</v>
      </c>
      <c r="I10" s="87">
        <v>1136.81</v>
      </c>
      <c r="J10" s="85">
        <f t="shared" si="0"/>
        <v>10111.92</v>
      </c>
      <c r="K10" s="85">
        <f t="shared" si="1"/>
        <v>12037.85</v>
      </c>
      <c r="L10" s="86">
        <f t="shared" si="1"/>
        <v>13672.67</v>
      </c>
    </row>
    <row r="11" spans="2:12" ht="20.100000000000001" customHeight="1" x14ac:dyDescent="0.3">
      <c r="B11" s="45">
        <v>7</v>
      </c>
      <c r="C11" s="97" t="s">
        <v>14</v>
      </c>
      <c r="D11" s="87">
        <v>7220.23</v>
      </c>
      <c r="E11" s="87">
        <v>8298.5</v>
      </c>
      <c r="F11" s="87">
        <v>9013.6</v>
      </c>
      <c r="G11" s="87">
        <v>992.58</v>
      </c>
      <c r="H11" s="87">
        <v>1318.92</v>
      </c>
      <c r="I11" s="87">
        <v>1269.52</v>
      </c>
      <c r="J11" s="85">
        <f t="shared" si="0"/>
        <v>8212.81</v>
      </c>
      <c r="K11" s="85">
        <f t="shared" si="1"/>
        <v>9617.42</v>
      </c>
      <c r="L11" s="135">
        <f t="shared" si="1"/>
        <v>10283.120000000001</v>
      </c>
    </row>
    <row r="12" spans="2:12" ht="20.100000000000001" customHeight="1" x14ac:dyDescent="0.3">
      <c r="B12" s="43">
        <v>8</v>
      </c>
      <c r="C12" s="97" t="s">
        <v>15</v>
      </c>
      <c r="D12" s="87">
        <v>6516.55</v>
      </c>
      <c r="E12" s="87">
        <v>8213.16</v>
      </c>
      <c r="F12" s="87">
        <v>9678.0400000000009</v>
      </c>
      <c r="G12" s="87">
        <v>1158.94</v>
      </c>
      <c r="H12" s="87">
        <v>1649.47</v>
      </c>
      <c r="I12" s="87">
        <v>1829.55</v>
      </c>
      <c r="J12" s="85">
        <f t="shared" si="0"/>
        <v>7675.49</v>
      </c>
      <c r="K12" s="85">
        <f t="shared" si="1"/>
        <v>9862.6299999999992</v>
      </c>
      <c r="L12" s="135">
        <f t="shared" si="1"/>
        <v>11507.59</v>
      </c>
    </row>
    <row r="13" spans="2:12" s="5" customFormat="1" ht="20.100000000000001" customHeight="1" x14ac:dyDescent="0.3">
      <c r="B13" s="45">
        <v>9</v>
      </c>
      <c r="C13" s="97" t="s">
        <v>16</v>
      </c>
      <c r="D13" s="87">
        <v>587.73</v>
      </c>
      <c r="E13" s="87">
        <v>692.13260000000002</v>
      </c>
      <c r="F13" s="87">
        <v>710.41430000000003</v>
      </c>
      <c r="G13" s="87">
        <v>14.82</v>
      </c>
      <c r="H13" s="87">
        <v>62.7883</v>
      </c>
      <c r="I13" s="87">
        <v>41.439799999999998</v>
      </c>
      <c r="J13" s="85">
        <f t="shared" si="0"/>
        <v>602.55000000000007</v>
      </c>
      <c r="K13" s="85">
        <f t="shared" si="1"/>
        <v>754.92090000000007</v>
      </c>
      <c r="L13" s="86">
        <f t="shared" si="1"/>
        <v>751.85410000000002</v>
      </c>
    </row>
    <row r="14" spans="2:12" ht="20.100000000000001" customHeight="1" x14ac:dyDescent="0.3">
      <c r="B14" s="43">
        <v>10</v>
      </c>
      <c r="C14" s="97" t="s">
        <v>26</v>
      </c>
      <c r="D14" s="87">
        <v>9676.58</v>
      </c>
      <c r="E14" s="87">
        <v>12394.3</v>
      </c>
      <c r="F14" s="87">
        <v>14039.07</v>
      </c>
      <c r="G14" s="87">
        <v>2489.4299999999998</v>
      </c>
      <c r="H14" s="87">
        <v>3042.89</v>
      </c>
      <c r="I14" s="87">
        <v>3806.18</v>
      </c>
      <c r="J14" s="85">
        <f>D14+G14</f>
        <v>12166.01</v>
      </c>
      <c r="K14" s="85">
        <f t="shared" si="1"/>
        <v>15437.189999999999</v>
      </c>
      <c r="L14" s="86">
        <f t="shared" si="1"/>
        <v>17845.25</v>
      </c>
    </row>
    <row r="15" spans="2:12" ht="20.100000000000001" customHeight="1" thickBot="1" x14ac:dyDescent="0.35">
      <c r="B15" s="44">
        <v>11</v>
      </c>
      <c r="C15" s="132" t="s">
        <v>17</v>
      </c>
      <c r="D15" s="137">
        <v>7233.18</v>
      </c>
      <c r="E15" s="137">
        <v>8612.7999999999993</v>
      </c>
      <c r="F15" s="137">
        <v>9413.31</v>
      </c>
      <c r="G15" s="137">
        <v>812.63</v>
      </c>
      <c r="H15" s="137">
        <v>1515.52</v>
      </c>
      <c r="I15" s="137">
        <v>1813.43</v>
      </c>
      <c r="J15" s="111">
        <f t="shared" si="0"/>
        <v>8045.81</v>
      </c>
      <c r="K15" s="111">
        <f t="shared" si="1"/>
        <v>10128.32</v>
      </c>
      <c r="L15" s="112">
        <f t="shared" si="1"/>
        <v>11226.74</v>
      </c>
    </row>
    <row r="16" spans="2:12" ht="20.100000000000001" customHeight="1" thickBot="1" x14ac:dyDescent="0.35">
      <c r="B16" s="218" t="s">
        <v>62</v>
      </c>
      <c r="C16" s="219"/>
      <c r="D16" s="122">
        <f>SUM(D5:D15)</f>
        <v>69579.253000000012</v>
      </c>
      <c r="E16" s="122">
        <f t="shared" ref="E16:L16" si="2">SUM(E5:E15)</f>
        <v>85864.527600000001</v>
      </c>
      <c r="F16" s="122">
        <f t="shared" si="2"/>
        <v>97797.866899999994</v>
      </c>
      <c r="G16" s="122">
        <f>SUM(G5:G15)</f>
        <v>10384.879999999999</v>
      </c>
      <c r="H16" s="122">
        <f t="shared" si="2"/>
        <v>13617.783299999999</v>
      </c>
      <c r="I16" s="122">
        <f t="shared" si="2"/>
        <v>16587.992099999999</v>
      </c>
      <c r="J16" s="122">
        <f>SUM(J5:J15)</f>
        <v>79964.133000000002</v>
      </c>
      <c r="K16" s="122">
        <f t="shared" si="2"/>
        <v>99482.310899999982</v>
      </c>
      <c r="L16" s="172">
        <f t="shared" si="2"/>
        <v>114385.859</v>
      </c>
    </row>
    <row r="17" spans="2:12" ht="20.100000000000001" customHeight="1" thickBot="1" x14ac:dyDescent="0.35">
      <c r="B17" s="153" t="s">
        <v>3</v>
      </c>
      <c r="C17" s="228" t="s">
        <v>18</v>
      </c>
      <c r="D17" s="229"/>
      <c r="E17" s="229"/>
      <c r="F17" s="229"/>
      <c r="G17" s="229"/>
      <c r="H17" s="229"/>
      <c r="I17" s="229"/>
      <c r="J17" s="229"/>
      <c r="K17" s="229"/>
      <c r="L17" s="230"/>
    </row>
    <row r="18" spans="2:12" ht="20.100000000000001" customHeight="1" x14ac:dyDescent="0.3">
      <c r="B18" s="42">
        <v>12</v>
      </c>
      <c r="C18" s="130" t="s">
        <v>19</v>
      </c>
      <c r="D18" s="123">
        <v>85163.77</v>
      </c>
      <c r="E18" s="123">
        <v>109368.63</v>
      </c>
      <c r="F18" s="123">
        <v>122677.04</v>
      </c>
      <c r="G18" s="123">
        <v>16143.42</v>
      </c>
      <c r="H18" s="123">
        <v>22441.96</v>
      </c>
      <c r="I18" s="123">
        <v>25257.06</v>
      </c>
      <c r="J18" s="115">
        <f t="shared" ref="J18:L24" si="3">D18+G18</f>
        <v>101307.19</v>
      </c>
      <c r="K18" s="115">
        <f t="shared" si="3"/>
        <v>131810.59</v>
      </c>
      <c r="L18" s="116">
        <f t="shared" si="3"/>
        <v>147934.1</v>
      </c>
    </row>
    <row r="19" spans="2:12" s="5" customFormat="1" ht="20.100000000000001" customHeight="1" x14ac:dyDescent="0.3">
      <c r="B19" s="43">
        <v>13</v>
      </c>
      <c r="C19" s="97" t="s">
        <v>33</v>
      </c>
      <c r="D19" s="109">
        <v>4200.2700000000004</v>
      </c>
      <c r="E19" s="109">
        <v>5362.04</v>
      </c>
      <c r="F19" s="109">
        <v>6470.59</v>
      </c>
      <c r="G19" s="109">
        <v>409.39</v>
      </c>
      <c r="H19" s="109">
        <v>474.24</v>
      </c>
      <c r="I19" s="109">
        <v>750.51</v>
      </c>
      <c r="J19" s="85">
        <f t="shared" si="3"/>
        <v>4609.6600000000008</v>
      </c>
      <c r="K19" s="85">
        <f t="shared" si="3"/>
        <v>5836.28</v>
      </c>
      <c r="L19" s="86">
        <f t="shared" si="3"/>
        <v>7221.1</v>
      </c>
    </row>
    <row r="20" spans="2:12" ht="20.100000000000001" customHeight="1" x14ac:dyDescent="0.3">
      <c r="B20" s="43">
        <v>14</v>
      </c>
      <c r="C20" s="97" t="s">
        <v>20</v>
      </c>
      <c r="D20" s="109">
        <v>161585.54999999999</v>
      </c>
      <c r="E20" s="109">
        <v>258340.56</v>
      </c>
      <c r="F20" s="109">
        <v>300517.03999999998</v>
      </c>
      <c r="G20" s="109">
        <v>31214.83</v>
      </c>
      <c r="H20" s="109">
        <v>49240.99</v>
      </c>
      <c r="I20" s="109">
        <v>45632.28</v>
      </c>
      <c r="J20" s="85">
        <f t="shared" si="3"/>
        <v>192800.38</v>
      </c>
      <c r="K20" s="85">
        <f t="shared" si="3"/>
        <v>307581.55</v>
      </c>
      <c r="L20" s="86">
        <f>F20+I20</f>
        <v>346149.31999999995</v>
      </c>
    </row>
    <row r="21" spans="2:12" ht="20.100000000000001" customHeight="1" x14ac:dyDescent="0.3">
      <c r="B21" s="43">
        <v>15</v>
      </c>
      <c r="C21" s="97" t="s">
        <v>21</v>
      </c>
      <c r="D21" s="109">
        <v>109231.34</v>
      </c>
      <c r="E21" s="109">
        <v>142890.94</v>
      </c>
      <c r="F21" s="109">
        <v>163263.78</v>
      </c>
      <c r="G21" s="109">
        <v>19831.45</v>
      </c>
      <c r="H21" s="109">
        <v>22957.77</v>
      </c>
      <c r="I21" s="109">
        <v>28506.7</v>
      </c>
      <c r="J21" s="85">
        <f t="shared" si="3"/>
        <v>129062.79</v>
      </c>
      <c r="K21" s="85">
        <f t="shared" si="3"/>
        <v>165848.71</v>
      </c>
      <c r="L21" s="86">
        <f>F21+I21</f>
        <v>191770.48</v>
      </c>
    </row>
    <row r="22" spans="2:12" ht="20.100000000000001" customHeight="1" x14ac:dyDescent="0.3">
      <c r="B22" s="43">
        <v>16</v>
      </c>
      <c r="C22" s="97" t="s">
        <v>22</v>
      </c>
      <c r="D22" s="109">
        <v>36367.910000000003</v>
      </c>
      <c r="E22" s="109">
        <v>45748.21</v>
      </c>
      <c r="F22" s="109">
        <v>48667.67</v>
      </c>
      <c r="G22" s="109">
        <v>8166.37</v>
      </c>
      <c r="H22" s="109">
        <v>9387.85</v>
      </c>
      <c r="I22" s="109">
        <v>7684.19</v>
      </c>
      <c r="J22" s="85">
        <f t="shared" si="3"/>
        <v>44534.280000000006</v>
      </c>
      <c r="K22" s="85">
        <f t="shared" si="3"/>
        <v>55136.06</v>
      </c>
      <c r="L22" s="86">
        <f t="shared" si="3"/>
        <v>56351.86</v>
      </c>
    </row>
    <row r="23" spans="2:12" ht="20.100000000000001" customHeight="1" x14ac:dyDescent="0.3">
      <c r="B23" s="43">
        <v>17</v>
      </c>
      <c r="C23" s="97" t="s">
        <v>23</v>
      </c>
      <c r="D23" s="109">
        <v>34250.85</v>
      </c>
      <c r="E23" s="109">
        <v>45798.91</v>
      </c>
      <c r="F23" s="109">
        <v>52919.73</v>
      </c>
      <c r="G23" s="109">
        <v>7083.05</v>
      </c>
      <c r="H23" s="109">
        <v>10273.1</v>
      </c>
      <c r="I23" s="109">
        <v>11418.49</v>
      </c>
      <c r="J23" s="85">
        <f t="shared" si="3"/>
        <v>41333.9</v>
      </c>
      <c r="K23" s="85">
        <f t="shared" si="3"/>
        <v>56072.01</v>
      </c>
      <c r="L23" s="86">
        <f t="shared" si="3"/>
        <v>64338.22</v>
      </c>
    </row>
    <row r="24" spans="2:12" ht="20.100000000000001" customHeight="1" x14ac:dyDescent="0.3">
      <c r="B24" s="43">
        <v>18</v>
      </c>
      <c r="C24" s="97" t="s">
        <v>24</v>
      </c>
      <c r="D24" s="109">
        <v>22697.43</v>
      </c>
      <c r="E24" s="109">
        <v>27585.94</v>
      </c>
      <c r="F24" s="109">
        <v>30894.91</v>
      </c>
      <c r="G24" s="109">
        <v>3685.06</v>
      </c>
      <c r="H24" s="109">
        <v>5114.3</v>
      </c>
      <c r="I24" s="109">
        <v>5856.86</v>
      </c>
      <c r="J24" s="85">
        <f t="shared" si="3"/>
        <v>26382.49</v>
      </c>
      <c r="K24" s="85">
        <f t="shared" si="3"/>
        <v>32700.239999999998</v>
      </c>
      <c r="L24" s="135">
        <f t="shared" si="3"/>
        <v>36751.769999999997</v>
      </c>
    </row>
    <row r="25" spans="2:12" ht="20.100000000000001" customHeight="1" x14ac:dyDescent="0.3">
      <c r="B25" s="43">
        <v>19</v>
      </c>
      <c r="C25" s="97" t="s">
        <v>29</v>
      </c>
      <c r="D25" s="109">
        <v>15904.699000000001</v>
      </c>
      <c r="E25" s="109">
        <v>18869.617999999999</v>
      </c>
      <c r="F25" s="109">
        <v>21948.227999999999</v>
      </c>
      <c r="G25" s="109">
        <v>2468.5500000000002</v>
      </c>
      <c r="H25" s="109">
        <v>2171.4198999999999</v>
      </c>
      <c r="I25" s="109">
        <v>2966.6</v>
      </c>
      <c r="J25" s="85">
        <v>18373.25</v>
      </c>
      <c r="K25" s="85">
        <f t="shared" ref="K25:L27" si="4">E25+H25</f>
        <v>21041.037899999999</v>
      </c>
      <c r="L25" s="86">
        <f t="shared" si="4"/>
        <v>24914.827999999998</v>
      </c>
    </row>
    <row r="26" spans="2:12" ht="20.100000000000001" customHeight="1" x14ac:dyDescent="0.3">
      <c r="B26" s="43">
        <v>20</v>
      </c>
      <c r="C26" s="96" t="s">
        <v>49</v>
      </c>
      <c r="D26" s="109">
        <v>22727.54</v>
      </c>
      <c r="E26" s="109">
        <v>30322.5</v>
      </c>
      <c r="F26" s="109">
        <v>36501.49</v>
      </c>
      <c r="G26" s="109">
        <v>4466.97</v>
      </c>
      <c r="H26" s="109">
        <v>6002</v>
      </c>
      <c r="I26" s="109">
        <v>7021.71</v>
      </c>
      <c r="J26" s="85">
        <f>D26+G26</f>
        <v>27194.510000000002</v>
      </c>
      <c r="K26" s="85">
        <f t="shared" si="4"/>
        <v>36324.5</v>
      </c>
      <c r="L26" s="86">
        <f t="shared" si="4"/>
        <v>43523.199999999997</v>
      </c>
    </row>
    <row r="27" spans="2:12" ht="20.100000000000001" customHeight="1" thickBot="1" x14ac:dyDescent="0.35">
      <c r="B27" s="69">
        <v>21</v>
      </c>
      <c r="C27" s="134" t="s">
        <v>44</v>
      </c>
      <c r="D27" s="138">
        <v>20569.78</v>
      </c>
      <c r="E27" s="138">
        <v>26426.133999999998</v>
      </c>
      <c r="F27" s="138">
        <v>28902</v>
      </c>
      <c r="G27" s="138">
        <v>4371.9799999999996</v>
      </c>
      <c r="H27" s="138">
        <v>3610.9070000000002</v>
      </c>
      <c r="I27" s="138">
        <v>4924</v>
      </c>
      <c r="J27" s="117">
        <f>D27+G27</f>
        <v>24941.759999999998</v>
      </c>
      <c r="K27" s="117">
        <f t="shared" si="4"/>
        <v>30037.040999999997</v>
      </c>
      <c r="L27" s="118">
        <f t="shared" si="4"/>
        <v>33826</v>
      </c>
    </row>
    <row r="28" spans="2:12" ht="20.100000000000001" customHeight="1" thickBot="1" x14ac:dyDescent="0.35">
      <c r="B28" s="218" t="s">
        <v>46</v>
      </c>
      <c r="C28" s="219"/>
      <c r="D28" s="113">
        <f t="shared" ref="D28:J28" si="5">SUM(D18:D27)</f>
        <v>512699.13899999997</v>
      </c>
      <c r="E28" s="113">
        <f t="shared" si="5"/>
        <v>710713.48199999996</v>
      </c>
      <c r="F28" s="113">
        <f t="shared" si="5"/>
        <v>812762.478</v>
      </c>
      <c r="G28" s="113">
        <f t="shared" si="5"/>
        <v>97841.069999999992</v>
      </c>
      <c r="H28" s="113">
        <f t="shared" si="5"/>
        <v>131674.53690000001</v>
      </c>
      <c r="I28" s="113">
        <f t="shared" si="5"/>
        <v>140018.40000000002</v>
      </c>
      <c r="J28" s="113">
        <f t="shared" si="5"/>
        <v>610540.21000000008</v>
      </c>
      <c r="K28" s="113">
        <f>SUM(K18:K27)</f>
        <v>842388.01889999991</v>
      </c>
      <c r="L28" s="114">
        <f>SUM(L18:L27)</f>
        <v>952780.87799999991</v>
      </c>
    </row>
    <row r="29" spans="2:12" ht="20.100000000000001" customHeight="1" thickBot="1" x14ac:dyDescent="0.35">
      <c r="B29" s="216" t="s">
        <v>45</v>
      </c>
      <c r="C29" s="217"/>
      <c r="D29" s="119">
        <f t="shared" ref="D29:J29" si="6">SUM(D16+D28)</f>
        <v>582278.39199999999</v>
      </c>
      <c r="E29" s="119">
        <f t="shared" si="6"/>
        <v>796578.00959999999</v>
      </c>
      <c r="F29" s="119">
        <f t="shared" si="6"/>
        <v>910560.34490000003</v>
      </c>
      <c r="G29" s="119">
        <f t="shared" si="6"/>
        <v>108225.95</v>
      </c>
      <c r="H29" s="119">
        <f t="shared" si="6"/>
        <v>145292.32020000002</v>
      </c>
      <c r="I29" s="119">
        <f t="shared" si="6"/>
        <v>156606.39210000003</v>
      </c>
      <c r="J29" s="119">
        <f t="shared" si="6"/>
        <v>690504.34300000011</v>
      </c>
      <c r="K29" s="119">
        <f>SUM(K16+K28)</f>
        <v>941870.32979999995</v>
      </c>
      <c r="L29" s="120">
        <f>SUM(L16+L28)</f>
        <v>1067166.737</v>
      </c>
    </row>
    <row r="30" spans="2:12" ht="19.5" customHeight="1" x14ac:dyDescent="0.3">
      <c r="B30" s="7"/>
      <c r="C30" s="2"/>
      <c r="D30" s="10"/>
      <c r="E30" s="10"/>
      <c r="F30" s="10"/>
      <c r="G30" s="10"/>
      <c r="H30" s="10"/>
      <c r="I30" s="10"/>
    </row>
    <row r="31" spans="2:12" ht="15.6" customHeight="1" x14ac:dyDescent="0.3">
      <c r="B31" s="240" t="s">
        <v>78</v>
      </c>
      <c r="C31" s="240"/>
      <c r="D31" s="240"/>
      <c r="E31" s="240"/>
      <c r="F31" s="240"/>
      <c r="G31" s="240"/>
      <c r="H31" s="240"/>
      <c r="I31" s="240"/>
      <c r="J31" s="240"/>
      <c r="K31" s="240"/>
      <c r="L31" s="240"/>
    </row>
    <row r="32" spans="2:12" ht="15.6" hidden="1" customHeight="1" x14ac:dyDescent="0.3">
      <c r="B32" s="7"/>
      <c r="C32" s="2"/>
      <c r="D32" s="8"/>
      <c r="E32" s="23">
        <f>(E16-D16)/D16*100</f>
        <v>23.405359928195818</v>
      </c>
      <c r="F32" s="23">
        <f>(F16-E16)/E16*100</f>
        <v>13.897868693334537</v>
      </c>
      <c r="G32" s="8"/>
      <c r="H32" s="23">
        <f>(H16-G16)/G16*100</f>
        <v>31.130868146767227</v>
      </c>
      <c r="I32" s="23">
        <f>(I16-H16)/H16*100</f>
        <v>21.811250293577519</v>
      </c>
      <c r="K32" s="23">
        <f>(K16-J16)/J16*100</f>
        <v>24.408665695156078</v>
      </c>
      <c r="L32" s="23">
        <f>(L16-K16)/K16*100</f>
        <v>14.981103640607143</v>
      </c>
    </row>
    <row r="33" spans="2:12" ht="15.6" hidden="1" customHeight="1" x14ac:dyDescent="0.3">
      <c r="B33" s="9"/>
      <c r="C33" s="3"/>
      <c r="D33" s="21"/>
      <c r="E33" s="200">
        <f>(E28-D28)/D28*100</f>
        <v>38.621937884705524</v>
      </c>
      <c r="F33" s="200">
        <f>(F28-E28)/E28*100</f>
        <v>14.358668941079697</v>
      </c>
      <c r="G33" s="20"/>
      <c r="H33" s="200">
        <f>(H28-G28)/G28*100</f>
        <v>34.580025443303121</v>
      </c>
      <c r="I33" s="200">
        <f>(I28-H28)/H28*100</f>
        <v>6.3367324438260599</v>
      </c>
      <c r="K33" s="200">
        <f>(K28-J28)/J28*100</f>
        <v>37.974207939555662</v>
      </c>
      <c r="L33" s="200">
        <f>(L28-K28)/K28*100</f>
        <v>13.104751803587176</v>
      </c>
    </row>
    <row r="34" spans="2:12" hidden="1" x14ac:dyDescent="0.3">
      <c r="B34" s="7"/>
      <c r="C34" s="2"/>
      <c r="D34" s="10"/>
      <c r="E34" s="200">
        <f>(E29-D29)/D29*100</f>
        <v>36.803635605286203</v>
      </c>
      <c r="F34" s="200">
        <f>(F29-E29)/E29*100</f>
        <v>14.308998481797913</v>
      </c>
      <c r="G34" s="10"/>
      <c r="H34" s="200">
        <f>(H29-G29)/G29*100</f>
        <v>34.249059675613864</v>
      </c>
      <c r="I34" s="200">
        <f>(I29-H29)/H29*100</f>
        <v>7.7871093836383025</v>
      </c>
      <c r="K34" s="200">
        <f>(K29-J29)/J29*100</f>
        <v>36.403244867063755</v>
      </c>
      <c r="L34" s="200">
        <f>(L29-K29)/K29*100</f>
        <v>13.302936002518084</v>
      </c>
    </row>
    <row r="35" spans="2:12" ht="28.2" customHeight="1" x14ac:dyDescent="0.3">
      <c r="B35" s="6"/>
    </row>
    <row r="36" spans="2:12" x14ac:dyDescent="0.3">
      <c r="C36" s="11"/>
    </row>
  </sheetData>
  <mergeCells count="10">
    <mergeCell ref="B31:L31"/>
    <mergeCell ref="B1:L1"/>
    <mergeCell ref="D2:K2"/>
    <mergeCell ref="B29:C29"/>
    <mergeCell ref="B16:C16"/>
    <mergeCell ref="D3:F3"/>
    <mergeCell ref="B28:C28"/>
    <mergeCell ref="G3:I3"/>
    <mergeCell ref="J3:L3"/>
    <mergeCell ref="C17:L17"/>
  </mergeCells>
  <printOptions horizontalCentered="1" gridLines="1"/>
  <pageMargins left="0.23622047244094491" right="0.23622047244094491" top="0.35433070866141736" bottom="0.35433070866141736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36"/>
  <sheetViews>
    <sheetView zoomScaleNormal="100" workbookViewId="0">
      <selection activeCell="C40" sqref="C40"/>
    </sheetView>
  </sheetViews>
  <sheetFormatPr defaultColWidth="8.88671875" defaultRowHeight="15.6" x14ac:dyDescent="0.3"/>
  <cols>
    <col min="1" max="1" width="8.88671875" style="4"/>
    <col min="2" max="2" width="7" style="4" customWidth="1"/>
    <col min="3" max="3" width="34.109375" style="4" customWidth="1"/>
    <col min="4" max="10" width="11.44140625" style="4" customWidth="1"/>
    <col min="11" max="11" width="11.33203125" style="4" customWidth="1"/>
    <col min="12" max="12" width="10.5546875" style="4" customWidth="1"/>
    <col min="13" max="16384" width="8.88671875" style="4"/>
  </cols>
  <sheetData>
    <row r="1" spans="2:12" ht="23.4" customHeight="1" x14ac:dyDescent="0.3">
      <c r="B1" s="251" t="s">
        <v>68</v>
      </c>
      <c r="C1" s="252"/>
      <c r="D1" s="252"/>
      <c r="E1" s="252"/>
      <c r="F1" s="252"/>
      <c r="G1" s="252"/>
      <c r="H1" s="252"/>
      <c r="I1" s="252"/>
      <c r="J1" s="252"/>
      <c r="K1" s="252"/>
      <c r="L1" s="253"/>
    </row>
    <row r="2" spans="2:12" ht="20.100000000000001" customHeight="1" x14ac:dyDescent="0.3">
      <c r="B2" s="178" t="s">
        <v>0</v>
      </c>
      <c r="C2" s="179"/>
      <c r="D2" s="245"/>
      <c r="E2" s="246"/>
      <c r="F2" s="246"/>
      <c r="G2" s="246"/>
      <c r="H2" s="246"/>
      <c r="I2" s="246"/>
      <c r="J2" s="246"/>
      <c r="K2" s="247"/>
      <c r="L2" s="196" t="s">
        <v>1</v>
      </c>
    </row>
    <row r="3" spans="2:12" ht="34.200000000000003" customHeight="1" x14ac:dyDescent="0.3">
      <c r="B3" s="190" t="s">
        <v>25</v>
      </c>
      <c r="C3" s="191" t="s">
        <v>4</v>
      </c>
      <c r="D3" s="248" t="s">
        <v>39</v>
      </c>
      <c r="E3" s="248"/>
      <c r="F3" s="248"/>
      <c r="G3" s="248" t="s">
        <v>37</v>
      </c>
      <c r="H3" s="248"/>
      <c r="I3" s="248"/>
      <c r="J3" s="248" t="s">
        <v>38</v>
      </c>
      <c r="K3" s="248"/>
      <c r="L3" s="250"/>
    </row>
    <row r="4" spans="2:12" ht="20.100000000000001" customHeight="1" thickBot="1" x14ac:dyDescent="0.35">
      <c r="B4" s="58" t="s">
        <v>2</v>
      </c>
      <c r="C4" s="150" t="s">
        <v>71</v>
      </c>
      <c r="D4" s="92">
        <v>2023</v>
      </c>
      <c r="E4" s="92">
        <v>2024</v>
      </c>
      <c r="F4" s="92">
        <v>2025</v>
      </c>
      <c r="G4" s="92">
        <v>2023</v>
      </c>
      <c r="H4" s="92">
        <v>2024</v>
      </c>
      <c r="I4" s="92">
        <v>2025</v>
      </c>
      <c r="J4" s="92">
        <v>2023</v>
      </c>
      <c r="K4" s="92">
        <v>2024</v>
      </c>
      <c r="L4" s="89">
        <v>2025</v>
      </c>
    </row>
    <row r="5" spans="2:12" ht="20.100000000000001" customHeight="1" x14ac:dyDescent="0.3">
      <c r="B5" s="47">
        <v>1</v>
      </c>
      <c r="C5" s="133" t="s">
        <v>9</v>
      </c>
      <c r="D5" s="106">
        <v>2551.54</v>
      </c>
      <c r="E5" s="106">
        <v>3147.1</v>
      </c>
      <c r="F5" s="106">
        <v>3518.3292000000001</v>
      </c>
      <c r="G5" s="106">
        <v>1155.17</v>
      </c>
      <c r="H5" s="106">
        <v>1348.3879999999999</v>
      </c>
      <c r="I5" s="106">
        <v>1535.1495</v>
      </c>
      <c r="J5" s="107">
        <f>D5+G5</f>
        <v>3706.71</v>
      </c>
      <c r="K5" s="107">
        <f>E5+H5</f>
        <v>4495.4879999999994</v>
      </c>
      <c r="L5" s="108">
        <f>F5+I5</f>
        <v>5053.4786999999997</v>
      </c>
    </row>
    <row r="6" spans="2:12" s="5" customFormat="1" ht="20.100000000000001" customHeight="1" x14ac:dyDescent="0.3">
      <c r="B6" s="45">
        <v>2</v>
      </c>
      <c r="C6" s="97" t="s">
        <v>10</v>
      </c>
      <c r="D6" s="109">
        <v>1986.92</v>
      </c>
      <c r="E6" s="109">
        <v>2697.02</v>
      </c>
      <c r="F6" s="109">
        <v>2990.34</v>
      </c>
      <c r="G6" s="109">
        <v>1150.3900000000001</v>
      </c>
      <c r="H6" s="109">
        <v>1314.05</v>
      </c>
      <c r="I6" s="109">
        <v>1405.67</v>
      </c>
      <c r="J6" s="85">
        <f t="shared" ref="J6:J15" si="0">D6+G6</f>
        <v>3137.3100000000004</v>
      </c>
      <c r="K6" s="85">
        <f t="shared" ref="K6:L15" si="1">E6+H6</f>
        <v>4011.0699999999997</v>
      </c>
      <c r="L6" s="86">
        <f t="shared" si="1"/>
        <v>4396.01</v>
      </c>
    </row>
    <row r="7" spans="2:12" ht="19.5" customHeight="1" x14ac:dyDescent="0.3">
      <c r="B7" s="43">
        <v>3</v>
      </c>
      <c r="C7" s="97" t="s">
        <v>72</v>
      </c>
      <c r="D7" s="109">
        <v>985.81</v>
      </c>
      <c r="E7" s="109">
        <v>1451.13</v>
      </c>
      <c r="F7" s="109">
        <v>2120.9699999999998</v>
      </c>
      <c r="G7" s="109">
        <v>942.12</v>
      </c>
      <c r="H7" s="109">
        <v>1280.78</v>
      </c>
      <c r="I7" s="109">
        <v>1537.99</v>
      </c>
      <c r="J7" s="85">
        <f t="shared" si="0"/>
        <v>1927.9299999999998</v>
      </c>
      <c r="K7" s="85">
        <f t="shared" si="1"/>
        <v>2731.91</v>
      </c>
      <c r="L7" s="86">
        <f t="shared" si="1"/>
        <v>3658.96</v>
      </c>
    </row>
    <row r="8" spans="2:12" ht="20.100000000000001" customHeight="1" x14ac:dyDescent="0.3">
      <c r="B8" s="45">
        <v>4</v>
      </c>
      <c r="C8" s="128" t="s">
        <v>11</v>
      </c>
      <c r="D8" s="109">
        <v>595.48</v>
      </c>
      <c r="E8" s="109">
        <v>748.54</v>
      </c>
      <c r="F8" s="109">
        <v>836.59</v>
      </c>
      <c r="G8" s="109">
        <v>427.07</v>
      </c>
      <c r="H8" s="109">
        <v>541.75</v>
      </c>
      <c r="I8" s="109">
        <v>557.39</v>
      </c>
      <c r="J8" s="85">
        <f t="shared" si="0"/>
        <v>1022.55</v>
      </c>
      <c r="K8" s="85">
        <f t="shared" si="1"/>
        <v>1290.29</v>
      </c>
      <c r="L8" s="86">
        <f t="shared" si="1"/>
        <v>1393.98</v>
      </c>
    </row>
    <row r="9" spans="2:12" ht="20.100000000000001" customHeight="1" x14ac:dyDescent="0.3">
      <c r="B9" s="43">
        <v>5</v>
      </c>
      <c r="C9" s="129" t="s">
        <v>12</v>
      </c>
      <c r="D9" s="109">
        <v>9571.4699999999993</v>
      </c>
      <c r="E9" s="109">
        <v>13894.78</v>
      </c>
      <c r="F9" s="109">
        <v>16897.259999999998</v>
      </c>
      <c r="G9" s="109">
        <v>4767.7700000000004</v>
      </c>
      <c r="H9" s="109">
        <v>6198.27</v>
      </c>
      <c r="I9" s="109">
        <v>7168.11</v>
      </c>
      <c r="J9" s="85">
        <f t="shared" si="0"/>
        <v>14339.24</v>
      </c>
      <c r="K9" s="85">
        <f t="shared" si="1"/>
        <v>20093.050000000003</v>
      </c>
      <c r="L9" s="86">
        <f t="shared" si="1"/>
        <v>24065.37</v>
      </c>
    </row>
    <row r="10" spans="2:12" ht="20.100000000000001" customHeight="1" x14ac:dyDescent="0.3">
      <c r="B10" s="43">
        <v>6</v>
      </c>
      <c r="C10" s="97" t="s">
        <v>13</v>
      </c>
      <c r="D10" s="109">
        <v>4609.83</v>
      </c>
      <c r="E10" s="109">
        <v>6008.68</v>
      </c>
      <c r="F10" s="109">
        <v>6742.04</v>
      </c>
      <c r="G10" s="109">
        <v>3643.6</v>
      </c>
      <c r="H10" s="109">
        <v>3752.29</v>
      </c>
      <c r="I10" s="109">
        <v>4000.84</v>
      </c>
      <c r="J10" s="85">
        <f t="shared" si="0"/>
        <v>8253.43</v>
      </c>
      <c r="K10" s="85">
        <f t="shared" si="1"/>
        <v>9760.9700000000012</v>
      </c>
      <c r="L10" s="86">
        <f t="shared" si="1"/>
        <v>10742.880000000001</v>
      </c>
    </row>
    <row r="11" spans="2:12" ht="20.100000000000001" customHeight="1" x14ac:dyDescent="0.3">
      <c r="B11" s="45">
        <v>7</v>
      </c>
      <c r="C11" s="97" t="s">
        <v>14</v>
      </c>
      <c r="D11" s="109">
        <v>4035.13</v>
      </c>
      <c r="E11" s="109">
        <v>4999.78</v>
      </c>
      <c r="F11" s="109">
        <v>5703.22</v>
      </c>
      <c r="G11" s="109">
        <v>1969.45</v>
      </c>
      <c r="H11" s="109">
        <v>2454.33</v>
      </c>
      <c r="I11" s="109">
        <v>2752.86</v>
      </c>
      <c r="J11" s="85">
        <f t="shared" si="0"/>
        <v>6004.58</v>
      </c>
      <c r="K11" s="85">
        <f t="shared" si="1"/>
        <v>7454.11</v>
      </c>
      <c r="L11" s="158">
        <f t="shared" si="1"/>
        <v>8456.08</v>
      </c>
    </row>
    <row r="12" spans="2:12" ht="20.100000000000001" customHeight="1" x14ac:dyDescent="0.3">
      <c r="B12" s="43">
        <v>8</v>
      </c>
      <c r="C12" s="97" t="s">
        <v>15</v>
      </c>
      <c r="D12" s="109">
        <v>3167.74</v>
      </c>
      <c r="E12" s="109">
        <v>4394.74</v>
      </c>
      <c r="F12" s="109">
        <v>5418.12</v>
      </c>
      <c r="G12" s="109">
        <v>2031.96</v>
      </c>
      <c r="H12" s="109">
        <v>2638.75</v>
      </c>
      <c r="I12" s="109">
        <v>2877.14</v>
      </c>
      <c r="J12" s="85">
        <f t="shared" si="0"/>
        <v>5199.7</v>
      </c>
      <c r="K12" s="85">
        <f t="shared" si="1"/>
        <v>7033.49</v>
      </c>
      <c r="L12" s="158">
        <f t="shared" si="1"/>
        <v>8295.26</v>
      </c>
    </row>
    <row r="13" spans="2:12" s="5" customFormat="1" ht="20.100000000000001" customHeight="1" x14ac:dyDescent="0.3">
      <c r="B13" s="45">
        <v>9</v>
      </c>
      <c r="C13" s="97" t="s">
        <v>16</v>
      </c>
      <c r="D13" s="109">
        <v>308.70999999999998</v>
      </c>
      <c r="E13" s="109">
        <v>372.04579999999999</v>
      </c>
      <c r="F13" s="109">
        <v>399.5899</v>
      </c>
      <c r="G13" s="109">
        <v>216.9</v>
      </c>
      <c r="H13" s="109">
        <v>275.58969999999999</v>
      </c>
      <c r="I13" s="109">
        <v>263.23809999999997</v>
      </c>
      <c r="J13" s="85">
        <f t="shared" si="0"/>
        <v>525.61</v>
      </c>
      <c r="K13" s="85">
        <f t="shared" si="1"/>
        <v>647.63549999999998</v>
      </c>
      <c r="L13" s="86">
        <f t="shared" si="1"/>
        <v>662.82799999999997</v>
      </c>
    </row>
    <row r="14" spans="2:12" ht="20.100000000000001" customHeight="1" x14ac:dyDescent="0.3">
      <c r="B14" s="43">
        <v>10</v>
      </c>
      <c r="C14" s="97" t="s">
        <v>26</v>
      </c>
      <c r="D14" s="109">
        <v>4678.3900000000003</v>
      </c>
      <c r="E14" s="109">
        <v>6351.41</v>
      </c>
      <c r="F14" s="109">
        <v>7576.05</v>
      </c>
      <c r="G14" s="109">
        <v>5285.17</v>
      </c>
      <c r="H14" s="109">
        <v>6055.03</v>
      </c>
      <c r="I14" s="109">
        <v>6642.41</v>
      </c>
      <c r="J14" s="85">
        <f t="shared" si="0"/>
        <v>9963.5600000000013</v>
      </c>
      <c r="K14" s="85">
        <f t="shared" si="1"/>
        <v>12406.439999999999</v>
      </c>
      <c r="L14" s="86">
        <f t="shared" si="1"/>
        <v>14218.46</v>
      </c>
    </row>
    <row r="15" spans="2:12" ht="20.100000000000001" customHeight="1" thickBot="1" x14ac:dyDescent="0.35">
      <c r="B15" s="44">
        <v>11</v>
      </c>
      <c r="C15" s="132" t="s">
        <v>17</v>
      </c>
      <c r="D15" s="110">
        <v>4221.1000000000004</v>
      </c>
      <c r="E15" s="110">
        <v>5280.75</v>
      </c>
      <c r="F15" s="110">
        <v>5927.67</v>
      </c>
      <c r="G15" s="110">
        <v>2317.38</v>
      </c>
      <c r="H15" s="110">
        <v>2979.9</v>
      </c>
      <c r="I15" s="110">
        <v>3028.99</v>
      </c>
      <c r="J15" s="111">
        <f t="shared" si="0"/>
        <v>6538.4800000000005</v>
      </c>
      <c r="K15" s="111">
        <f t="shared" si="1"/>
        <v>8260.65</v>
      </c>
      <c r="L15" s="112">
        <f t="shared" si="1"/>
        <v>8956.66</v>
      </c>
    </row>
    <row r="16" spans="2:12" ht="22.5" customHeight="1" thickBot="1" x14ac:dyDescent="0.35">
      <c r="B16" s="218" t="s">
        <v>62</v>
      </c>
      <c r="C16" s="219"/>
      <c r="D16" s="113">
        <f>SUM(D5:D15)</f>
        <v>36712.119999999995</v>
      </c>
      <c r="E16" s="113">
        <f t="shared" ref="E16:L16" si="2">SUM(E5:E15)</f>
        <v>49345.9758</v>
      </c>
      <c r="F16" s="113">
        <f t="shared" si="2"/>
        <v>58130.179100000001</v>
      </c>
      <c r="G16" s="113">
        <f>SUM(G5:G15)</f>
        <v>23906.980000000003</v>
      </c>
      <c r="H16" s="113">
        <f t="shared" si="2"/>
        <v>28839.127700000001</v>
      </c>
      <c r="I16" s="113">
        <f t="shared" si="2"/>
        <v>31769.787599999996</v>
      </c>
      <c r="J16" s="113">
        <f>SUM(J5:J15)</f>
        <v>60619.1</v>
      </c>
      <c r="K16" s="113">
        <f t="shared" si="2"/>
        <v>78185.103499999997</v>
      </c>
      <c r="L16" s="114">
        <f t="shared" si="2"/>
        <v>89899.96669999999</v>
      </c>
    </row>
    <row r="17" spans="2:12" ht="20.100000000000001" customHeight="1" thickBot="1" x14ac:dyDescent="0.35">
      <c r="B17" s="68" t="s">
        <v>3</v>
      </c>
      <c r="C17" s="228" t="s">
        <v>18</v>
      </c>
      <c r="D17" s="229"/>
      <c r="E17" s="229"/>
      <c r="F17" s="229"/>
      <c r="G17" s="229"/>
      <c r="H17" s="229"/>
      <c r="I17" s="229"/>
      <c r="J17" s="229"/>
      <c r="K17" s="229"/>
      <c r="L17" s="230"/>
    </row>
    <row r="18" spans="2:12" ht="20.100000000000001" customHeight="1" x14ac:dyDescent="0.3">
      <c r="B18" s="42">
        <v>12</v>
      </c>
      <c r="C18" s="130" t="s">
        <v>19</v>
      </c>
      <c r="D18" s="123">
        <v>42218.02</v>
      </c>
      <c r="E18" s="123">
        <v>59474.15</v>
      </c>
      <c r="F18" s="123">
        <v>68329.22</v>
      </c>
      <c r="G18" s="123">
        <v>27040.86</v>
      </c>
      <c r="H18" s="123">
        <v>35213.279999999999</v>
      </c>
      <c r="I18" s="123">
        <v>37499.949999999997</v>
      </c>
      <c r="J18" s="115">
        <f t="shared" ref="J18:J27" si="3">D18+G18</f>
        <v>69258.880000000005</v>
      </c>
      <c r="K18" s="115">
        <f t="shared" ref="K18:L27" si="4">E18+H18</f>
        <v>94687.43</v>
      </c>
      <c r="L18" s="116">
        <f t="shared" si="4"/>
        <v>105829.17</v>
      </c>
    </row>
    <row r="19" spans="2:12" s="5" customFormat="1" ht="20.100000000000001" customHeight="1" x14ac:dyDescent="0.3">
      <c r="B19" s="43">
        <v>13</v>
      </c>
      <c r="C19" s="97" t="s">
        <v>33</v>
      </c>
      <c r="D19" s="109">
        <v>2483.2600000000002</v>
      </c>
      <c r="E19" s="109">
        <v>3434.14</v>
      </c>
      <c r="F19" s="109">
        <v>4364.0200000000004</v>
      </c>
      <c r="G19" s="109">
        <v>1339.67</v>
      </c>
      <c r="H19" s="109">
        <v>1537.7</v>
      </c>
      <c r="I19" s="109">
        <v>1820.08</v>
      </c>
      <c r="J19" s="85">
        <f t="shared" si="3"/>
        <v>3822.9300000000003</v>
      </c>
      <c r="K19" s="85">
        <f t="shared" si="4"/>
        <v>4971.84</v>
      </c>
      <c r="L19" s="86">
        <f t="shared" si="4"/>
        <v>6184.1</v>
      </c>
    </row>
    <row r="20" spans="2:12" ht="20.100000000000001" customHeight="1" x14ac:dyDescent="0.3">
      <c r="B20" s="43">
        <v>14</v>
      </c>
      <c r="C20" s="97" t="s">
        <v>20</v>
      </c>
      <c r="D20" s="109">
        <v>74743.31</v>
      </c>
      <c r="E20" s="109">
        <v>149808.1</v>
      </c>
      <c r="F20" s="109">
        <v>177846.95</v>
      </c>
      <c r="G20" s="109">
        <v>47652.09</v>
      </c>
      <c r="H20" s="109">
        <v>63386.01</v>
      </c>
      <c r="I20" s="109">
        <v>68174.89</v>
      </c>
      <c r="J20" s="85">
        <f t="shared" si="3"/>
        <v>122395.4</v>
      </c>
      <c r="K20" s="85">
        <f t="shared" si="4"/>
        <v>213194.11000000002</v>
      </c>
      <c r="L20" s="86">
        <f>F20+I20</f>
        <v>246021.84000000003</v>
      </c>
    </row>
    <row r="21" spans="2:12" ht="20.100000000000001" customHeight="1" x14ac:dyDescent="0.3">
      <c r="B21" s="43">
        <v>15</v>
      </c>
      <c r="C21" s="97" t="s">
        <v>21</v>
      </c>
      <c r="D21" s="109">
        <v>47102.74</v>
      </c>
      <c r="E21" s="109">
        <v>68585.22</v>
      </c>
      <c r="F21" s="109">
        <v>82099.34</v>
      </c>
      <c r="G21" s="109">
        <v>32873.24</v>
      </c>
      <c r="H21" s="109">
        <v>39132.730000000003</v>
      </c>
      <c r="I21" s="109">
        <v>42372.32</v>
      </c>
      <c r="J21" s="85">
        <f t="shared" si="3"/>
        <v>79975.98</v>
      </c>
      <c r="K21" s="85">
        <f t="shared" si="4"/>
        <v>107717.95000000001</v>
      </c>
      <c r="L21" s="86">
        <f>F21+I21</f>
        <v>124471.66</v>
      </c>
    </row>
    <row r="22" spans="2:12" ht="20.100000000000001" customHeight="1" x14ac:dyDescent="0.3">
      <c r="B22" s="43">
        <v>16</v>
      </c>
      <c r="C22" s="97" t="s">
        <v>22</v>
      </c>
      <c r="D22" s="109">
        <v>18775.8</v>
      </c>
      <c r="E22" s="109">
        <v>25132.3</v>
      </c>
      <c r="F22" s="109">
        <v>29636.35</v>
      </c>
      <c r="G22" s="109">
        <v>11412</v>
      </c>
      <c r="H22" s="109">
        <v>14263.49</v>
      </c>
      <c r="I22" s="109">
        <v>16070.65</v>
      </c>
      <c r="J22" s="85">
        <f t="shared" si="3"/>
        <v>30187.8</v>
      </c>
      <c r="K22" s="85">
        <f t="shared" si="4"/>
        <v>39395.79</v>
      </c>
      <c r="L22" s="86">
        <f t="shared" si="4"/>
        <v>45707</v>
      </c>
    </row>
    <row r="23" spans="2:12" ht="20.100000000000001" customHeight="1" x14ac:dyDescent="0.3">
      <c r="B23" s="43">
        <v>17</v>
      </c>
      <c r="C23" s="97" t="s">
        <v>23</v>
      </c>
      <c r="D23" s="109">
        <v>12698.93</v>
      </c>
      <c r="E23" s="109">
        <v>19805.71</v>
      </c>
      <c r="F23" s="109">
        <v>24577.95</v>
      </c>
      <c r="G23" s="109">
        <f>5519.83+8267.16</f>
        <v>13786.99</v>
      </c>
      <c r="H23" s="109">
        <f>6856.37+9822.48</f>
        <v>16678.849999999999</v>
      </c>
      <c r="I23" s="109">
        <v>18753.7</v>
      </c>
      <c r="J23" s="85">
        <f t="shared" si="3"/>
        <v>26485.919999999998</v>
      </c>
      <c r="K23" s="85">
        <f t="shared" si="4"/>
        <v>36484.559999999998</v>
      </c>
      <c r="L23" s="86">
        <f t="shared" si="4"/>
        <v>43331.65</v>
      </c>
    </row>
    <row r="24" spans="2:12" ht="20.100000000000001" customHeight="1" x14ac:dyDescent="0.3">
      <c r="B24" s="43">
        <v>18</v>
      </c>
      <c r="C24" s="97" t="s">
        <v>24</v>
      </c>
      <c r="D24" s="109">
        <v>14779.86</v>
      </c>
      <c r="E24" s="109">
        <v>19491.32</v>
      </c>
      <c r="F24" s="109">
        <v>21950.560000000001</v>
      </c>
      <c r="G24" s="109">
        <v>8419.8700000000008</v>
      </c>
      <c r="H24" s="109">
        <v>9822.66</v>
      </c>
      <c r="I24" s="109">
        <v>10547.26</v>
      </c>
      <c r="J24" s="85">
        <f t="shared" si="3"/>
        <v>23199.730000000003</v>
      </c>
      <c r="K24" s="85">
        <f t="shared" si="4"/>
        <v>29313.98</v>
      </c>
      <c r="L24" s="158">
        <f t="shared" si="4"/>
        <v>32497.82</v>
      </c>
    </row>
    <row r="25" spans="2:12" ht="20.100000000000001" customHeight="1" x14ac:dyDescent="0.3">
      <c r="B25" s="43">
        <v>19</v>
      </c>
      <c r="C25" s="97" t="s">
        <v>29</v>
      </c>
      <c r="D25" s="109">
        <v>6645.08</v>
      </c>
      <c r="E25" s="109">
        <v>8550.7765999999992</v>
      </c>
      <c r="F25" s="109">
        <v>10457.6451</v>
      </c>
      <c r="G25" s="109">
        <v>4636.8190000000004</v>
      </c>
      <c r="H25" s="109">
        <v>5850.777</v>
      </c>
      <c r="I25" s="109">
        <v>7068.4951000000001</v>
      </c>
      <c r="J25" s="85">
        <f t="shared" si="3"/>
        <v>11281.899000000001</v>
      </c>
      <c r="K25" s="85">
        <f t="shared" si="4"/>
        <v>14401.553599999999</v>
      </c>
      <c r="L25" s="86">
        <f t="shared" si="4"/>
        <v>17526.140200000002</v>
      </c>
    </row>
    <row r="26" spans="2:12" ht="20.100000000000001" customHeight="1" x14ac:dyDescent="0.3">
      <c r="B26" s="43">
        <v>20</v>
      </c>
      <c r="C26" s="96" t="s">
        <v>49</v>
      </c>
      <c r="D26" s="109">
        <v>10092.209999999999</v>
      </c>
      <c r="E26" s="109">
        <v>13871.75</v>
      </c>
      <c r="F26" s="109">
        <v>17209.52</v>
      </c>
      <c r="G26" s="109">
        <v>12170.35</v>
      </c>
      <c r="H26" s="109">
        <v>16215.78</v>
      </c>
      <c r="I26" s="109">
        <v>18898.830000000002</v>
      </c>
      <c r="J26" s="85">
        <f t="shared" si="3"/>
        <v>22262.559999999998</v>
      </c>
      <c r="K26" s="85">
        <f>E26+H26</f>
        <v>30087.53</v>
      </c>
      <c r="L26" s="86">
        <f>F26+I26</f>
        <v>36108.350000000006</v>
      </c>
    </row>
    <row r="27" spans="2:12" ht="20.100000000000001" customHeight="1" thickBot="1" x14ac:dyDescent="0.35">
      <c r="B27" s="44">
        <v>21</v>
      </c>
      <c r="C27" s="131" t="s">
        <v>44</v>
      </c>
      <c r="D27" s="110">
        <v>9139.2315999999992</v>
      </c>
      <c r="E27" s="110">
        <v>12239.6949</v>
      </c>
      <c r="F27" s="110">
        <v>14276</v>
      </c>
      <c r="G27" s="110">
        <v>7066.7</v>
      </c>
      <c r="H27" s="110">
        <v>8205.2960000000003</v>
      </c>
      <c r="I27" s="110">
        <v>8472</v>
      </c>
      <c r="J27" s="111">
        <f t="shared" si="3"/>
        <v>16205.9316</v>
      </c>
      <c r="K27" s="111">
        <f t="shared" si="4"/>
        <v>20444.990900000001</v>
      </c>
      <c r="L27" s="112">
        <f t="shared" si="4"/>
        <v>22748</v>
      </c>
    </row>
    <row r="28" spans="2:12" ht="22.5" customHeight="1" thickBot="1" x14ac:dyDescent="0.35">
      <c r="B28" s="218" t="s">
        <v>46</v>
      </c>
      <c r="C28" s="219"/>
      <c r="D28" s="113">
        <f t="shared" ref="D28:J28" si="5">SUM(D18:D27)</f>
        <v>238678.44159999996</v>
      </c>
      <c r="E28" s="113">
        <f t="shared" si="5"/>
        <v>380393.16149999999</v>
      </c>
      <c r="F28" s="113">
        <f t="shared" si="5"/>
        <v>450747.55510000006</v>
      </c>
      <c r="G28" s="113">
        <f t="shared" si="5"/>
        <v>166398.58899999998</v>
      </c>
      <c r="H28" s="113">
        <f>SUM(H18:H27)</f>
        <v>210306.573</v>
      </c>
      <c r="I28" s="113">
        <f>SUM(I18:I27)</f>
        <v>229678.17509999999</v>
      </c>
      <c r="J28" s="113">
        <f t="shared" si="5"/>
        <v>405077.03059999994</v>
      </c>
      <c r="K28" s="113">
        <f>SUM(K18:K27)</f>
        <v>590699.73450000002</v>
      </c>
      <c r="L28" s="114">
        <f>SUM(L18:L27)</f>
        <v>680425.73019999999</v>
      </c>
    </row>
    <row r="29" spans="2:12" ht="19.5" customHeight="1" thickBot="1" x14ac:dyDescent="0.35">
      <c r="B29" s="216" t="s">
        <v>45</v>
      </c>
      <c r="C29" s="217"/>
      <c r="D29" s="119">
        <f t="shared" ref="D29:J29" si="6">D28+D16</f>
        <v>275390.56159999996</v>
      </c>
      <c r="E29" s="119">
        <f t="shared" si="6"/>
        <v>429739.1373</v>
      </c>
      <c r="F29" s="119">
        <f t="shared" si="6"/>
        <v>508877.73420000006</v>
      </c>
      <c r="G29" s="119">
        <f t="shared" si="6"/>
        <v>190305.56899999999</v>
      </c>
      <c r="H29" s="119">
        <f>H28+H16</f>
        <v>239145.70070000002</v>
      </c>
      <c r="I29" s="119">
        <f>I28+I16</f>
        <v>261447.96269999997</v>
      </c>
      <c r="J29" s="119">
        <f t="shared" si="6"/>
        <v>465696.13059999992</v>
      </c>
      <c r="K29" s="119">
        <f>K28+K16</f>
        <v>668884.83799999999</v>
      </c>
      <c r="L29" s="120">
        <f>L28+L16</f>
        <v>770325.69689999998</v>
      </c>
    </row>
    <row r="30" spans="2:12" ht="20.100000000000001" customHeight="1" x14ac:dyDescent="0.3">
      <c r="B30" s="9"/>
      <c r="C30" s="22"/>
      <c r="D30" s="124"/>
      <c r="E30" s="32"/>
      <c r="F30" s="32"/>
      <c r="G30" s="124"/>
      <c r="H30" s="32"/>
      <c r="I30" s="32"/>
      <c r="K30" s="15"/>
      <c r="L30" s="15"/>
    </row>
    <row r="31" spans="2:12" ht="18" customHeight="1" x14ac:dyDescent="0.3">
      <c r="B31" s="254" t="s">
        <v>74</v>
      </c>
      <c r="C31" s="254"/>
      <c r="D31" s="254"/>
      <c r="E31" s="254"/>
      <c r="F31" s="254"/>
      <c r="G31" s="254"/>
      <c r="H31" s="125"/>
      <c r="I31" s="125"/>
      <c r="K31" s="15"/>
      <c r="L31" s="15"/>
    </row>
    <row r="32" spans="2:12" ht="19.5" customHeight="1" x14ac:dyDescent="0.3">
      <c r="B32" s="249" t="s">
        <v>81</v>
      </c>
      <c r="C32" s="249"/>
      <c r="D32" s="249"/>
      <c r="E32" s="249"/>
      <c r="F32" s="249"/>
      <c r="G32" s="249"/>
      <c r="H32" s="249"/>
      <c r="I32" s="249"/>
      <c r="J32" s="249"/>
      <c r="K32" s="249"/>
      <c r="L32" s="249"/>
    </row>
    <row r="33" spans="2:12" ht="18" hidden="1" customHeight="1" x14ac:dyDescent="0.3">
      <c r="B33" s="7"/>
      <c r="C33" s="2"/>
      <c r="D33" s="10"/>
      <c r="E33" s="23">
        <f>(E16-D16)/D16*100</f>
        <v>34.413310372705268</v>
      </c>
      <c r="F33" s="23">
        <f>(F16-E16)/E16*100</f>
        <v>17.801255639573352</v>
      </c>
      <c r="G33" s="8"/>
      <c r="H33" s="23">
        <f>(H16-G16)/G16*100</f>
        <v>20.63057609116667</v>
      </c>
      <c r="I33" s="23">
        <f>(I16-H16)/H16*100</f>
        <v>10.162096199601748</v>
      </c>
      <c r="K33" s="23">
        <f>(K16-J16)/J16*100</f>
        <v>28.977671229035074</v>
      </c>
      <c r="L33" s="23">
        <f>(L16-K16)/K16*100</f>
        <v>14.983497719613547</v>
      </c>
    </row>
    <row r="34" spans="2:12" ht="19.95" hidden="1" customHeight="1" x14ac:dyDescent="0.3">
      <c r="B34" s="7"/>
      <c r="C34" s="2"/>
      <c r="D34" s="10"/>
      <c r="E34" s="200">
        <f>(E28-D28)/D28*100</f>
        <v>59.374746604680382</v>
      </c>
      <c r="F34" s="200">
        <f>(F28-E28)/E28*100</f>
        <v>18.49517833669049</v>
      </c>
      <c r="G34" s="20"/>
      <c r="H34" s="200">
        <f>(H28-G28)/G28*100</f>
        <v>26.387233367706042</v>
      </c>
      <c r="I34" s="200">
        <f>(I28-H28)/H28*100</f>
        <v>9.211125369819035</v>
      </c>
      <c r="K34" s="200">
        <f>(K28-J28)/J28*100</f>
        <v>45.82405070587582</v>
      </c>
      <c r="L34" s="200">
        <f>(L28-K28)/K28*100</f>
        <v>15.189780942757469</v>
      </c>
    </row>
    <row r="35" spans="2:12" ht="19.95" hidden="1" customHeight="1" x14ac:dyDescent="0.3">
      <c r="B35" s="7"/>
      <c r="C35" s="2"/>
      <c r="D35" s="8"/>
      <c r="E35" s="200">
        <f>(E29-D29)/D29*100</f>
        <v>56.047155284932636</v>
      </c>
      <c r="F35" s="200">
        <f>(F29-E29)/E29*100</f>
        <v>18.415496758619305</v>
      </c>
      <c r="G35" s="10"/>
      <c r="H35" s="200">
        <f>(H29-G29)/G29*100</f>
        <v>25.664058049714789</v>
      </c>
      <c r="I35" s="200">
        <f>(I29-H29)/H29*100</f>
        <v>9.3258051199412417</v>
      </c>
      <c r="K35" s="200">
        <f>(K29-J29)/J29*100</f>
        <v>43.631177939617629</v>
      </c>
      <c r="L35" s="200">
        <f>(L29-K29)/K29*100</f>
        <v>15.165668757467035</v>
      </c>
    </row>
    <row r="36" spans="2:12" ht="30" customHeight="1" x14ac:dyDescent="0.3">
      <c r="B36" s="7"/>
      <c r="C36" s="2"/>
      <c r="D36" s="10"/>
      <c r="E36" s="10"/>
      <c r="F36" s="10"/>
      <c r="G36" s="10"/>
      <c r="H36" s="10"/>
      <c r="I36" s="10"/>
    </row>
  </sheetData>
  <mergeCells count="11">
    <mergeCell ref="B32:L32"/>
    <mergeCell ref="J3:L3"/>
    <mergeCell ref="D2:K2"/>
    <mergeCell ref="C17:L17"/>
    <mergeCell ref="B1:L1"/>
    <mergeCell ref="B31:G31"/>
    <mergeCell ref="D3:F3"/>
    <mergeCell ref="B16:C16"/>
    <mergeCell ref="B28:C28"/>
    <mergeCell ref="B29:C29"/>
    <mergeCell ref="G3:I3"/>
  </mergeCells>
  <printOptions horizontalCentered="1" gridLines="1"/>
  <pageMargins left="0.19685039370078741" right="0.23622047244094491" top="0.35433070866141736" bottom="0.35433070866141736" header="0.31496062992125984" footer="0.31496062992125984"/>
  <pageSetup paperSize="9" scale="87" orientation="landscape" r:id="rId1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34"/>
  <sheetViews>
    <sheetView topLeftCell="A16" zoomScaleNormal="100" workbookViewId="0">
      <selection activeCell="M16" sqref="M1:T1048576"/>
    </sheetView>
  </sheetViews>
  <sheetFormatPr defaultColWidth="8.88671875" defaultRowHeight="15.6" x14ac:dyDescent="0.3"/>
  <cols>
    <col min="1" max="1" width="8.88671875" style="4"/>
    <col min="2" max="2" width="5.5546875" style="4" customWidth="1"/>
    <col min="3" max="3" width="32.44140625" style="4" customWidth="1"/>
    <col min="4" max="12" width="11.33203125" style="4" customWidth="1"/>
    <col min="13" max="16384" width="8.88671875" style="4"/>
  </cols>
  <sheetData>
    <row r="1" spans="2:12" ht="20.399999999999999" x14ac:dyDescent="0.3">
      <c r="B1" s="242" t="s">
        <v>48</v>
      </c>
      <c r="C1" s="243"/>
      <c r="D1" s="243"/>
      <c r="E1" s="243"/>
      <c r="F1" s="243"/>
      <c r="G1" s="243"/>
      <c r="H1" s="243"/>
      <c r="I1" s="243"/>
      <c r="J1" s="243"/>
      <c r="K1" s="243"/>
      <c r="L1" s="244"/>
    </row>
    <row r="2" spans="2:12" ht="21" customHeight="1" x14ac:dyDescent="0.3">
      <c r="B2" s="178" t="s">
        <v>0</v>
      </c>
      <c r="C2" s="179"/>
      <c r="D2" s="255"/>
      <c r="E2" s="255"/>
      <c r="F2" s="255"/>
      <c r="G2" s="255"/>
      <c r="H2" s="255"/>
      <c r="I2" s="255"/>
      <c r="J2" s="255"/>
      <c r="K2" s="255"/>
      <c r="L2" s="197" t="s">
        <v>1</v>
      </c>
    </row>
    <row r="3" spans="2:12" ht="33" customHeight="1" x14ac:dyDescent="0.3">
      <c r="B3" s="185" t="s">
        <v>25</v>
      </c>
      <c r="C3" s="191" t="s">
        <v>4</v>
      </c>
      <c r="D3" s="248" t="s">
        <v>40</v>
      </c>
      <c r="E3" s="248"/>
      <c r="F3" s="248"/>
      <c r="G3" s="248" t="s">
        <v>28</v>
      </c>
      <c r="H3" s="248"/>
      <c r="I3" s="248"/>
      <c r="J3" s="257" t="s">
        <v>41</v>
      </c>
      <c r="K3" s="257"/>
      <c r="L3" s="258"/>
    </row>
    <row r="4" spans="2:12" ht="20.100000000000001" customHeight="1" thickBot="1" x14ac:dyDescent="0.35">
      <c r="B4" s="58" t="s">
        <v>2</v>
      </c>
      <c r="C4" s="150" t="s">
        <v>71</v>
      </c>
      <c r="D4" s="88">
        <v>2023</v>
      </c>
      <c r="E4" s="92">
        <v>2024</v>
      </c>
      <c r="F4" s="92">
        <v>2025</v>
      </c>
      <c r="G4" s="88">
        <v>2023</v>
      </c>
      <c r="H4" s="92">
        <v>2024</v>
      </c>
      <c r="I4" s="92">
        <v>2025</v>
      </c>
      <c r="J4" s="198">
        <v>2023</v>
      </c>
      <c r="K4" s="92">
        <v>2024</v>
      </c>
      <c r="L4" s="89">
        <v>2025</v>
      </c>
    </row>
    <row r="5" spans="2:12" ht="20.100000000000001" customHeight="1" x14ac:dyDescent="0.3">
      <c r="B5" s="47">
        <v>1</v>
      </c>
      <c r="C5" s="133" t="s">
        <v>9</v>
      </c>
      <c r="D5" s="106">
        <v>1817.97</v>
      </c>
      <c r="E5" s="106">
        <v>1516.73</v>
      </c>
      <c r="F5" s="106">
        <v>1678.6261999999999</v>
      </c>
      <c r="G5" s="106">
        <f>640.5+240</f>
        <v>880.5</v>
      </c>
      <c r="H5" s="106">
        <f>286+215</f>
        <v>501</v>
      </c>
      <c r="I5" s="106">
        <f>262+293</f>
        <v>555</v>
      </c>
      <c r="J5" s="107">
        <v>937.47</v>
      </c>
      <c r="K5" s="107">
        <v>1015.73</v>
      </c>
      <c r="L5" s="108">
        <v>1123.6261999999999</v>
      </c>
    </row>
    <row r="6" spans="2:12" s="5" customFormat="1" ht="20.100000000000001" customHeight="1" x14ac:dyDescent="0.3">
      <c r="B6" s="45">
        <v>2</v>
      </c>
      <c r="C6" s="97" t="s">
        <v>10</v>
      </c>
      <c r="D6" s="109">
        <v>1572.84</v>
      </c>
      <c r="E6" s="109">
        <v>1481.78</v>
      </c>
      <c r="F6" s="109">
        <v>1745.74</v>
      </c>
      <c r="G6" s="109">
        <f>179.2+364.38</f>
        <v>543.57999999999993</v>
      </c>
      <c r="H6" s="109">
        <f>88.2+321.55</f>
        <v>409.75</v>
      </c>
      <c r="I6" s="109">
        <f>170.85+392.28</f>
        <v>563.13</v>
      </c>
      <c r="J6" s="85">
        <v>1029.26</v>
      </c>
      <c r="K6" s="85">
        <v>1072.03</v>
      </c>
      <c r="L6" s="86">
        <v>1182.6099999999999</v>
      </c>
    </row>
    <row r="7" spans="2:12" ht="20.100000000000001" customHeight="1" x14ac:dyDescent="0.3">
      <c r="B7" s="43">
        <v>3</v>
      </c>
      <c r="C7" s="97" t="s">
        <v>72</v>
      </c>
      <c r="D7" s="109">
        <v>707.4</v>
      </c>
      <c r="E7" s="109">
        <v>779.92</v>
      </c>
      <c r="F7" s="109">
        <v>910.24</v>
      </c>
      <c r="G7" s="109">
        <f>-26.21+186.25</f>
        <v>160.04</v>
      </c>
      <c r="H7" s="109">
        <f>18.48+194.62</f>
        <v>213.1</v>
      </c>
      <c r="I7" s="109">
        <f>110.71+205.73</f>
        <v>316.44</v>
      </c>
      <c r="J7" s="85">
        <v>547.36</v>
      </c>
      <c r="K7" s="85">
        <v>566.82000000000005</v>
      </c>
      <c r="L7" s="86">
        <v>593.79999999999995</v>
      </c>
    </row>
    <row r="8" spans="2:12" ht="20.100000000000001" customHeight="1" x14ac:dyDescent="0.3">
      <c r="B8" s="45">
        <v>4</v>
      </c>
      <c r="C8" s="128" t="s">
        <v>11</v>
      </c>
      <c r="D8" s="109">
        <v>123.2</v>
      </c>
      <c r="E8" s="109">
        <f>INCOME!K8-EXP!K8</f>
        <v>69.259999999999991</v>
      </c>
      <c r="F8" s="109">
        <f>INCOME!L8-EXP!L8</f>
        <v>95.100000000000136</v>
      </c>
      <c r="G8" s="109">
        <f>91.59-17.75</f>
        <v>73.84</v>
      </c>
      <c r="H8" s="109">
        <f>12.66-1.22</f>
        <v>11.44</v>
      </c>
      <c r="I8" s="109">
        <f>23.48+4.98</f>
        <v>28.46</v>
      </c>
      <c r="J8" s="85">
        <v>49.36</v>
      </c>
      <c r="K8" s="85">
        <v>57.82</v>
      </c>
      <c r="L8" s="86">
        <v>66.64</v>
      </c>
    </row>
    <row r="9" spans="2:12" s="13" customFormat="1" ht="20.100000000000001" customHeight="1" x14ac:dyDescent="0.3">
      <c r="B9" s="43">
        <v>5</v>
      </c>
      <c r="C9" s="129" t="s">
        <v>12</v>
      </c>
      <c r="D9" s="109">
        <v>4794.3900000000003</v>
      </c>
      <c r="E9" s="109">
        <v>5174.4799999999996</v>
      </c>
      <c r="F9" s="109">
        <f>INCOME!L9-EXP!L9</f>
        <v>6101.130000000001</v>
      </c>
      <c r="G9" s="109">
        <f>749.89+1033.91</f>
        <v>1783.8000000000002</v>
      </c>
      <c r="H9" s="109">
        <f>196.1+1257.78</f>
        <v>1453.8799999999999</v>
      </c>
      <c r="I9" s="109">
        <f>733.06+1316.18</f>
        <v>2049.2399999999998</v>
      </c>
      <c r="J9" s="109">
        <v>3010.59</v>
      </c>
      <c r="K9" s="85">
        <v>3720.6</v>
      </c>
      <c r="L9" s="86">
        <v>4051.89</v>
      </c>
    </row>
    <row r="10" spans="2:12" ht="20.100000000000001" customHeight="1" x14ac:dyDescent="0.3">
      <c r="B10" s="43">
        <v>6</v>
      </c>
      <c r="C10" s="97" t="s">
        <v>13</v>
      </c>
      <c r="D10" s="109">
        <v>1858.49</v>
      </c>
      <c r="E10" s="109">
        <v>2276.88</v>
      </c>
      <c r="F10" s="109">
        <f>INCOME!L10-EXP!L10</f>
        <v>2929.7899999999991</v>
      </c>
      <c r="G10" s="109">
        <f>74.13+586.98</f>
        <v>661.11</v>
      </c>
      <c r="H10" s="109">
        <f>617.3-107.69</f>
        <v>509.60999999999996</v>
      </c>
      <c r="I10" s="109">
        <f>851.24-3.91</f>
        <v>847.33</v>
      </c>
      <c r="J10" s="109">
        <v>1197.3800000000001</v>
      </c>
      <c r="K10" s="85">
        <v>1767.27</v>
      </c>
      <c r="L10" s="86">
        <v>2082.46</v>
      </c>
    </row>
    <row r="11" spans="2:12" ht="20.100000000000001" customHeight="1" x14ac:dyDescent="0.3">
      <c r="B11" s="45">
        <v>7</v>
      </c>
      <c r="C11" s="97" t="s">
        <v>14</v>
      </c>
      <c r="D11" s="109">
        <v>2208.23</v>
      </c>
      <c r="E11" s="109">
        <v>2163.31</v>
      </c>
      <c r="F11" s="109">
        <f>INCOME!L11-EXP!L11</f>
        <v>1827.0400000000009</v>
      </c>
      <c r="G11" s="109">
        <f>767.19+260.8</f>
        <v>1027.99</v>
      </c>
      <c r="H11" s="109">
        <f>600.58+256.45</f>
        <v>857.03</v>
      </c>
      <c r="I11" s="109">
        <f>186.44+368.23</f>
        <v>554.67000000000007</v>
      </c>
      <c r="J11" s="109">
        <v>1180.24</v>
      </c>
      <c r="K11" s="85">
        <v>1306.28</v>
      </c>
      <c r="L11" s="86">
        <v>1272.3699999999999</v>
      </c>
    </row>
    <row r="12" spans="2:12" ht="20.100000000000001" customHeight="1" x14ac:dyDescent="0.3">
      <c r="B12" s="43">
        <v>8</v>
      </c>
      <c r="C12" s="97" t="s">
        <v>15</v>
      </c>
      <c r="D12" s="109">
        <v>2475.79</v>
      </c>
      <c r="E12" s="109">
        <v>2829.14</v>
      </c>
      <c r="F12" s="109">
        <f>INCOME!L12-EXP!L12</f>
        <v>3212.33</v>
      </c>
      <c r="G12" s="109">
        <f>1038.93+330.77</f>
        <v>1369.7</v>
      </c>
      <c r="H12" s="109">
        <f>728.95+495.38</f>
        <v>1224.33</v>
      </c>
      <c r="I12" s="109">
        <f>621.6+649.09</f>
        <v>1270.69</v>
      </c>
      <c r="J12" s="109">
        <v>1106.0899999999999</v>
      </c>
      <c r="K12" s="85">
        <v>1604.81</v>
      </c>
      <c r="L12" s="86">
        <v>1941.64</v>
      </c>
    </row>
    <row r="13" spans="2:12" s="5" customFormat="1" ht="20.100000000000001" customHeight="1" x14ac:dyDescent="0.3">
      <c r="B13" s="45">
        <v>9</v>
      </c>
      <c r="C13" s="97" t="s">
        <v>16</v>
      </c>
      <c r="D13" s="109">
        <f>INCOME!J13-EXP!J13</f>
        <v>76.940000000000055</v>
      </c>
      <c r="E13" s="109">
        <f>INCOME!K13-EXP!K13</f>
        <v>107.2854000000001</v>
      </c>
      <c r="F13" s="109">
        <f>INCOME!L13-EXP!L13</f>
        <v>89.026100000000042</v>
      </c>
      <c r="G13" s="109">
        <v>30.6267</v>
      </c>
      <c r="H13" s="109">
        <v>60.186799999999998</v>
      </c>
      <c r="I13" s="109">
        <v>38.4161</v>
      </c>
      <c r="J13" s="109">
        <v>46.31</v>
      </c>
      <c r="K13" s="85">
        <v>47.096600000000002</v>
      </c>
      <c r="L13" s="86">
        <v>50.61</v>
      </c>
    </row>
    <row r="14" spans="2:12" ht="20.100000000000001" customHeight="1" x14ac:dyDescent="0.3">
      <c r="B14" s="43">
        <v>10</v>
      </c>
      <c r="C14" s="97" t="s">
        <v>26</v>
      </c>
      <c r="D14" s="109">
        <v>2202.4499999999998</v>
      </c>
      <c r="E14" s="109">
        <v>3030.75</v>
      </c>
      <c r="F14" s="109">
        <v>3626.79</v>
      </c>
      <c r="G14" s="109">
        <f>1021.94+297.78</f>
        <v>1319.72</v>
      </c>
      <c r="H14" s="109">
        <f>1778.47+84.36</f>
        <v>1862.83</v>
      </c>
      <c r="I14" s="109">
        <f>2958.66-27.24</f>
        <v>2931.42</v>
      </c>
      <c r="J14" s="109">
        <v>882.73</v>
      </c>
      <c r="K14" s="85">
        <v>1167.92</v>
      </c>
      <c r="L14" s="86">
        <v>695.37</v>
      </c>
    </row>
    <row r="15" spans="2:12" ht="20.100000000000001" customHeight="1" thickBot="1" x14ac:dyDescent="0.35">
      <c r="B15" s="44">
        <v>11</v>
      </c>
      <c r="C15" s="132" t="s">
        <v>17</v>
      </c>
      <c r="D15" s="110">
        <f>INCOME!J15-EXP!J15</f>
        <v>1507.33</v>
      </c>
      <c r="E15" s="110">
        <f>INCOME!K15-EXP!K15</f>
        <v>1867.67</v>
      </c>
      <c r="F15" s="110">
        <f>INCOME!L15-EXP!L15</f>
        <v>2270.08</v>
      </c>
      <c r="G15" s="110">
        <f>399.12+333.12</f>
        <v>732.24</v>
      </c>
      <c r="H15" s="110">
        <f>338.92+458.67</f>
        <v>797.59</v>
      </c>
      <c r="I15" s="110">
        <f>513.19+454.01</f>
        <v>967.2</v>
      </c>
      <c r="J15" s="110">
        <v>775.09</v>
      </c>
      <c r="K15" s="111">
        <v>1070.08</v>
      </c>
      <c r="L15" s="112">
        <v>1302.8800000000001</v>
      </c>
    </row>
    <row r="16" spans="2:12" ht="20.100000000000001" customHeight="1" thickBot="1" x14ac:dyDescent="0.35">
      <c r="B16" s="218" t="s">
        <v>62</v>
      </c>
      <c r="C16" s="219"/>
      <c r="D16" s="113">
        <f>SUM(D5:D15)</f>
        <v>19345.03</v>
      </c>
      <c r="E16" s="113">
        <f t="shared" ref="E16:L16" si="0">SUM(E5:E15)</f>
        <v>21297.205399999999</v>
      </c>
      <c r="F16" s="113">
        <f t="shared" si="0"/>
        <v>24485.8923</v>
      </c>
      <c r="G16" s="113">
        <f t="shared" si="0"/>
        <v>8583.1466999999993</v>
      </c>
      <c r="H16" s="113">
        <f t="shared" si="0"/>
        <v>7900.7468000000008</v>
      </c>
      <c r="I16" s="113">
        <f t="shared" si="0"/>
        <v>10121.996100000002</v>
      </c>
      <c r="J16" s="113">
        <f t="shared" si="0"/>
        <v>10761.88</v>
      </c>
      <c r="K16" s="113">
        <f t="shared" si="0"/>
        <v>13396.456600000001</v>
      </c>
      <c r="L16" s="114">
        <f t="shared" si="0"/>
        <v>14363.896199999999</v>
      </c>
    </row>
    <row r="17" spans="2:12" ht="20.100000000000001" customHeight="1" thickBot="1" x14ac:dyDescent="0.35">
      <c r="B17" s="68" t="s">
        <v>3</v>
      </c>
      <c r="C17" s="256" t="s">
        <v>18</v>
      </c>
      <c r="D17" s="256"/>
      <c r="E17" s="256"/>
      <c r="F17" s="256"/>
      <c r="G17" s="256"/>
      <c r="H17" s="256"/>
      <c r="I17" s="256"/>
      <c r="J17" s="256"/>
      <c r="K17" s="256"/>
      <c r="L17" s="140"/>
    </row>
    <row r="18" spans="2:12" ht="20.100000000000001" customHeight="1" x14ac:dyDescent="0.3">
      <c r="B18" s="42">
        <v>12</v>
      </c>
      <c r="C18" s="130" t="s">
        <v>19</v>
      </c>
      <c r="D18" s="123">
        <f>INCOME!J18-EXP!J18</f>
        <v>32048.309999999998</v>
      </c>
      <c r="E18" s="123">
        <f>INCOME!K18-EXP!K18</f>
        <v>37123.160000000003</v>
      </c>
      <c r="F18" s="123">
        <v>42104.93</v>
      </c>
      <c r="G18" s="123">
        <f>2652.64+12489.82+7326.17</f>
        <v>22468.629999999997</v>
      </c>
      <c r="H18" s="123">
        <f>4063.09+8198.64</f>
        <v>12261.73</v>
      </c>
      <c r="I18" s="123">
        <v>15731.45</v>
      </c>
      <c r="J18" s="123">
        <v>9579.68</v>
      </c>
      <c r="K18" s="115">
        <v>24861.43</v>
      </c>
      <c r="L18" s="116">
        <v>26373.48</v>
      </c>
    </row>
    <row r="19" spans="2:12" ht="20.100000000000001" customHeight="1" x14ac:dyDescent="0.3">
      <c r="B19" s="43">
        <v>13</v>
      </c>
      <c r="C19" s="97" t="s">
        <v>33</v>
      </c>
      <c r="D19" s="109">
        <f>INCOME!J19-EXP!J19</f>
        <v>786.73000000000047</v>
      </c>
      <c r="E19" s="109">
        <f>INCOME!K19-EXP!K19</f>
        <v>864.4399999999996</v>
      </c>
      <c r="F19" s="109">
        <f>INCOME!L19-EXP!L19</f>
        <v>1037</v>
      </c>
      <c r="G19" s="109">
        <f>159.17+162</f>
        <v>321.16999999999996</v>
      </c>
      <c r="H19" s="109">
        <f>142.48+185.99</f>
        <v>328.47</v>
      </c>
      <c r="I19" s="109">
        <f>208.39+213.28</f>
        <v>421.66999999999996</v>
      </c>
      <c r="J19" s="85">
        <v>465.56</v>
      </c>
      <c r="K19" s="85">
        <v>535.97</v>
      </c>
      <c r="L19" s="86">
        <v>615.33000000000004</v>
      </c>
    </row>
    <row r="20" spans="2:12" ht="20.100000000000001" customHeight="1" x14ac:dyDescent="0.3">
      <c r="B20" s="43">
        <v>14</v>
      </c>
      <c r="C20" s="97" t="s">
        <v>20</v>
      </c>
      <c r="D20" s="109">
        <v>70404.98</v>
      </c>
      <c r="E20" s="109">
        <v>94387.44</v>
      </c>
      <c r="F20" s="109">
        <v>100127.48</v>
      </c>
      <c r="G20" s="109">
        <f>11919.67+14376.6</f>
        <v>26296.27</v>
      </c>
      <c r="H20" s="109">
        <f>23492.14+10083.03</f>
        <v>33575.17</v>
      </c>
      <c r="I20" s="109">
        <f>11649.42+21130.7</f>
        <v>32780.120000000003</v>
      </c>
      <c r="J20" s="85">
        <v>44108.71</v>
      </c>
      <c r="K20" s="85">
        <v>60812.27</v>
      </c>
      <c r="L20" s="86">
        <v>67347.360000000001</v>
      </c>
    </row>
    <row r="21" spans="2:12" ht="20.100000000000001" customHeight="1" x14ac:dyDescent="0.3">
      <c r="B21" s="43">
        <v>15</v>
      </c>
      <c r="C21" s="97" t="s">
        <v>21</v>
      </c>
      <c r="D21" s="109">
        <f>INCOME!J21-EXP!J21</f>
        <v>49086.81</v>
      </c>
      <c r="E21" s="109">
        <f>INCOME!K21-EXP!K21</f>
        <v>58130.75999999998</v>
      </c>
      <c r="F21" s="109">
        <f>INCOME!L21-EXP!L21</f>
        <v>67298.820000000007</v>
      </c>
      <c r="G21" s="109">
        <f>6665.58+10524.73</f>
        <v>17190.309999999998</v>
      </c>
      <c r="H21" s="109">
        <f>3642.93+13599.56</f>
        <v>17242.489999999998</v>
      </c>
      <c r="I21" s="109">
        <f>4682.62+15389.21</f>
        <v>20071.829999999998</v>
      </c>
      <c r="J21" s="85">
        <v>31896.5</v>
      </c>
      <c r="K21" s="85">
        <v>40888.269999999997</v>
      </c>
      <c r="L21" s="86">
        <v>47226.99</v>
      </c>
    </row>
    <row r="22" spans="2:12" ht="20.100000000000001" customHeight="1" x14ac:dyDescent="0.3">
      <c r="B22" s="43">
        <v>16</v>
      </c>
      <c r="C22" s="97" t="s">
        <v>22</v>
      </c>
      <c r="D22" s="109">
        <v>14346.48</v>
      </c>
      <c r="E22" s="109">
        <f>INCOME!K22-EXP!K22</f>
        <v>15740.269999999997</v>
      </c>
      <c r="F22" s="109">
        <f>INCOME!L22-EXP!L22</f>
        <v>10644.86</v>
      </c>
      <c r="G22" s="109">
        <f>4486.83+2469.93</f>
        <v>6956.76</v>
      </c>
      <c r="H22" s="109">
        <f>3798.74+2991.75</f>
        <v>6790.49</v>
      </c>
      <c r="I22" s="109">
        <f>7030.14+971.82</f>
        <v>8001.96</v>
      </c>
      <c r="J22" s="85">
        <v>7389.72</v>
      </c>
      <c r="K22" s="85">
        <v>8949.7800000000007</v>
      </c>
      <c r="L22" s="86">
        <v>2642.9</v>
      </c>
    </row>
    <row r="23" spans="2:12" ht="20.100000000000001" customHeight="1" x14ac:dyDescent="0.3">
      <c r="B23" s="43">
        <v>17</v>
      </c>
      <c r="C23" s="97" t="s">
        <v>23</v>
      </c>
      <c r="D23" s="109">
        <f>INCOME!J23-EXP!J23</f>
        <v>14847.980000000003</v>
      </c>
      <c r="E23" s="109">
        <f>INCOME!K23-EXP!K23</f>
        <v>19587.450000000004</v>
      </c>
      <c r="F23" s="109">
        <f>INCOME!L23-EXP!L23</f>
        <v>21006.57</v>
      </c>
      <c r="G23" s="109">
        <f>456.99+3451.69</f>
        <v>3908.6800000000003</v>
      </c>
      <c r="H23" s="109">
        <f>1573.73+4232.14</f>
        <v>5805.8700000000008</v>
      </c>
      <c r="I23" s="109">
        <f>2942.36+5134.03-3519.9</f>
        <v>4556.49</v>
      </c>
      <c r="J23" s="85">
        <v>10939.3</v>
      </c>
      <c r="K23" s="85">
        <v>13781.58</v>
      </c>
      <c r="L23" s="86">
        <v>16450.080000000002</v>
      </c>
    </row>
    <row r="24" spans="2:12" ht="20.100000000000001" customHeight="1" x14ac:dyDescent="0.3">
      <c r="B24" s="43">
        <v>18</v>
      </c>
      <c r="C24" s="97" t="s">
        <v>24</v>
      </c>
      <c r="D24" s="109">
        <v>3182.76</v>
      </c>
      <c r="E24" s="109">
        <f>INCOME!K24-EXP!K24</f>
        <v>3386.2599999999984</v>
      </c>
      <c r="F24" s="109">
        <f>INCOME!L24-EXP!L24</f>
        <v>4253.9499999999971</v>
      </c>
      <c r="G24" s="109">
        <f>2219.85+245.51</f>
        <v>2465.3599999999997</v>
      </c>
      <c r="H24" s="109">
        <f>1886.28+248.9</f>
        <v>2135.1799999999998</v>
      </c>
      <c r="I24" s="109">
        <f>1085.61+762.48</f>
        <v>1848.09</v>
      </c>
      <c r="J24" s="85">
        <v>717.4</v>
      </c>
      <c r="K24" s="85">
        <v>1251.08</v>
      </c>
      <c r="L24" s="86">
        <v>2405.86</v>
      </c>
    </row>
    <row r="25" spans="2:12" ht="20.100000000000001" customHeight="1" x14ac:dyDescent="0.3">
      <c r="B25" s="43">
        <v>19</v>
      </c>
      <c r="C25" s="97" t="s">
        <v>29</v>
      </c>
      <c r="D25" s="109">
        <v>7091.3490000000002</v>
      </c>
      <c r="E25" s="109">
        <f>INCOME!K25-EXP!K25</f>
        <v>6639.4843000000001</v>
      </c>
      <c r="F25" s="109">
        <f>INCOME!L25-EXP!L25</f>
        <v>7388.6877999999961</v>
      </c>
      <c r="G25" s="109">
        <f>4198.365+698.346</f>
        <v>4896.7109999999993</v>
      </c>
      <c r="H25" s="109">
        <f>3696.571+713.349</f>
        <v>4409.92</v>
      </c>
      <c r="I25" s="109">
        <f>3765.4115+877.9815</f>
        <v>4643.393</v>
      </c>
      <c r="J25" s="85">
        <v>2194.6379999999999</v>
      </c>
      <c r="K25" s="85">
        <v>2229.5619999999999</v>
      </c>
      <c r="L25" s="86">
        <v>2745.2955000000002</v>
      </c>
    </row>
    <row r="26" spans="2:12" ht="20.100000000000001" customHeight="1" x14ac:dyDescent="0.3">
      <c r="B26" s="43">
        <v>20</v>
      </c>
      <c r="C26" s="97" t="s">
        <v>49</v>
      </c>
      <c r="D26" s="109">
        <v>4931.95</v>
      </c>
      <c r="E26" s="109">
        <v>6236.97</v>
      </c>
      <c r="F26" s="109">
        <v>7414.85</v>
      </c>
      <c r="G26" s="109">
        <f>1664.82+830</f>
        <v>2494.8199999999997</v>
      </c>
      <c r="H26" s="109">
        <f>2381.65+898.81</f>
        <v>3280.46</v>
      </c>
      <c r="I26" s="109">
        <f>5514.73+375.27</f>
        <v>5890</v>
      </c>
      <c r="J26" s="85">
        <v>2437.13</v>
      </c>
      <c r="K26" s="85">
        <v>2956.51</v>
      </c>
      <c r="L26" s="86">
        <v>1524.85</v>
      </c>
    </row>
    <row r="27" spans="2:12" ht="20.100000000000001" customHeight="1" thickBot="1" x14ac:dyDescent="0.35">
      <c r="B27" s="69">
        <v>21</v>
      </c>
      <c r="C27" s="134" t="s">
        <v>44</v>
      </c>
      <c r="D27" s="138">
        <f>INCOME!J27-EXP!J27</f>
        <v>8735.8283999999985</v>
      </c>
      <c r="E27" s="138">
        <f>INCOME!K27-EXP!K27</f>
        <v>9592.0500999999967</v>
      </c>
      <c r="F27" s="138">
        <f>INCOME!L27-EXP!L27</f>
        <v>11078</v>
      </c>
      <c r="G27" s="138">
        <f>3497.86+1592.88</f>
        <v>5090.74</v>
      </c>
      <c r="H27" s="138">
        <v>3957.95</v>
      </c>
      <c r="I27" s="138">
        <f>510+3053</f>
        <v>3563</v>
      </c>
      <c r="J27" s="117">
        <v>3645.09</v>
      </c>
      <c r="K27" s="117">
        <v>5634.09</v>
      </c>
      <c r="L27" s="118">
        <v>7515</v>
      </c>
    </row>
    <row r="28" spans="2:12" ht="20.100000000000001" customHeight="1" thickBot="1" x14ac:dyDescent="0.35">
      <c r="B28" s="218" t="s">
        <v>46</v>
      </c>
      <c r="C28" s="219"/>
      <c r="D28" s="113">
        <f>SUM(D18:D27)</f>
        <v>205463.17740000002</v>
      </c>
      <c r="E28" s="113">
        <f t="shared" ref="E28:L28" si="1">SUM(E18:E27)</f>
        <v>251688.2844</v>
      </c>
      <c r="F28" s="113">
        <f t="shared" si="1"/>
        <v>272355.14780000004</v>
      </c>
      <c r="G28" s="113">
        <f t="shared" si="1"/>
        <v>92089.450999999986</v>
      </c>
      <c r="H28" s="113">
        <f t="shared" si="1"/>
        <v>89787.729999999981</v>
      </c>
      <c r="I28" s="113">
        <f t="shared" si="1"/>
        <v>97508.003000000012</v>
      </c>
      <c r="J28" s="113">
        <f t="shared" si="1"/>
        <v>113373.728</v>
      </c>
      <c r="K28" s="113">
        <f>SUM(K18:K27)+0.01</f>
        <v>161900.552</v>
      </c>
      <c r="L28" s="114">
        <f t="shared" si="1"/>
        <v>174847.14550000001</v>
      </c>
    </row>
    <row r="29" spans="2:12" ht="20.100000000000001" customHeight="1" thickBot="1" x14ac:dyDescent="0.35">
      <c r="B29" s="216" t="s">
        <v>45</v>
      </c>
      <c r="C29" s="217"/>
      <c r="D29" s="119">
        <f>D28+D16</f>
        <v>224808.20740000001</v>
      </c>
      <c r="E29" s="119">
        <f t="shared" ref="E29:L29" si="2">E28+E16</f>
        <v>272985.48979999998</v>
      </c>
      <c r="F29" s="119">
        <f t="shared" si="2"/>
        <v>296841.04010000004</v>
      </c>
      <c r="G29" s="119">
        <f t="shared" si="2"/>
        <v>100672.59769999998</v>
      </c>
      <c r="H29" s="119">
        <f t="shared" si="2"/>
        <v>97688.476799999975</v>
      </c>
      <c r="I29" s="119">
        <f t="shared" si="2"/>
        <v>107629.99910000002</v>
      </c>
      <c r="J29" s="119">
        <f t="shared" si="2"/>
        <v>124135.60800000001</v>
      </c>
      <c r="K29" s="119">
        <f t="shared" si="2"/>
        <v>175297.0086</v>
      </c>
      <c r="L29" s="120">
        <f t="shared" si="2"/>
        <v>189211.0417</v>
      </c>
    </row>
    <row r="30" spans="2:12" ht="18.75" customHeight="1" x14ac:dyDescent="0.3">
      <c r="B30" s="7"/>
      <c r="C30" s="2"/>
      <c r="D30" s="23"/>
      <c r="E30" s="23"/>
      <c r="F30" s="23"/>
      <c r="G30" s="23"/>
      <c r="H30" s="23"/>
      <c r="I30" s="23"/>
      <c r="J30" s="23"/>
    </row>
    <row r="31" spans="2:12" ht="18.600000000000001" hidden="1" customHeight="1" x14ac:dyDescent="0.3">
      <c r="B31" s="7"/>
      <c r="C31" s="2"/>
      <c r="D31" s="8"/>
      <c r="E31" s="23">
        <f>(E16-D16)/D16*100</f>
        <v>10.091353696530842</v>
      </c>
      <c r="F31" s="23">
        <f>(F16-E16)/E16*100</f>
        <v>14.972325430077321</v>
      </c>
      <c r="G31" s="8"/>
      <c r="H31" s="23">
        <f>(H16-G16)/G16*100</f>
        <v>-7.9504629694841231</v>
      </c>
      <c r="I31" s="23">
        <f>(I16-H16)/H16*100</f>
        <v>28.114422044255377</v>
      </c>
      <c r="K31" s="23">
        <f>(K16-J16)/J16*100</f>
        <v>24.480635353674288</v>
      </c>
      <c r="L31" s="23">
        <f>(L16-K16)/K16*100</f>
        <v>7.2216081377817307</v>
      </c>
    </row>
    <row r="32" spans="2:12" ht="18.600000000000001" hidden="1" customHeight="1" x14ac:dyDescent="0.3">
      <c r="B32" s="9"/>
      <c r="C32" s="3"/>
      <c r="D32" s="20"/>
      <c r="E32" s="200">
        <f>(E28-D28)/D28*100</f>
        <v>22.498000656345337</v>
      </c>
      <c r="F32" s="200">
        <f>(F28-E28)/E28*100</f>
        <v>8.2112933660252772</v>
      </c>
      <c r="G32" s="8"/>
      <c r="H32" s="200">
        <f>(H28-G28)/G28*100</f>
        <v>-2.4994404625129163</v>
      </c>
      <c r="I32" s="200">
        <f>(I28-H28)/H28*100</f>
        <v>8.5983608227984281</v>
      </c>
      <c r="K32" s="200">
        <f>(K28-J28)/J28*100</f>
        <v>42.802530053523505</v>
      </c>
      <c r="L32" s="200">
        <f>(L28-K28)/K28*100</f>
        <v>7.9966333283409794</v>
      </c>
    </row>
    <row r="33" spans="2:12" ht="18.600000000000001" hidden="1" customHeight="1" x14ac:dyDescent="0.3">
      <c r="B33" s="7"/>
      <c r="C33" s="2"/>
      <c r="D33" s="24"/>
      <c r="E33" s="200">
        <f>(E29-D29)/D29*100</f>
        <v>21.430393025766357</v>
      </c>
      <c r="F33" s="200">
        <f>(F29-E29)/E29*100</f>
        <v>8.7387612863517337</v>
      </c>
      <c r="G33" s="10"/>
      <c r="H33" s="200">
        <f>(H29-G29)/G29*100</f>
        <v>-2.9641838674835439</v>
      </c>
      <c r="I33" s="200">
        <f>(I29-H29)/H29*100</f>
        <v>10.17676047949193</v>
      </c>
      <c r="K33" s="200">
        <f>(K29-J29)/J29*100</f>
        <v>41.214121736931432</v>
      </c>
      <c r="L33" s="200">
        <f>(L29-K29)/K29*100</f>
        <v>7.937404757288026</v>
      </c>
    </row>
    <row r="34" spans="2:12" ht="17.25" customHeight="1" x14ac:dyDescent="0.3">
      <c r="B34" s="241" t="s">
        <v>82</v>
      </c>
      <c r="C34" s="241"/>
      <c r="D34" s="241"/>
      <c r="E34" s="241"/>
      <c r="F34" s="241"/>
      <c r="G34" s="241"/>
      <c r="H34" s="241"/>
      <c r="I34" s="241"/>
      <c r="J34" s="241"/>
      <c r="K34" s="241"/>
      <c r="L34" s="241"/>
    </row>
  </sheetData>
  <mergeCells count="10">
    <mergeCell ref="B34:L34"/>
    <mergeCell ref="B1:L1"/>
    <mergeCell ref="D2:K2"/>
    <mergeCell ref="B29:C29"/>
    <mergeCell ref="B16:C16"/>
    <mergeCell ref="C17:K17"/>
    <mergeCell ref="D3:F3"/>
    <mergeCell ref="B28:C28"/>
    <mergeCell ref="G3:I3"/>
    <mergeCell ref="J3:L3"/>
  </mergeCells>
  <printOptions horizontalCentered="1"/>
  <pageMargins left="0.19685039370078741" right="0.23622047244094491" top="0.35433070866141736" bottom="0.35433070866141736" header="0.31496062992125984" footer="0.31496062992125984"/>
  <pageSetup paperSize="9"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P39"/>
  <sheetViews>
    <sheetView topLeftCell="A19" zoomScaleNormal="100" workbookViewId="0">
      <selection activeCell="P8" sqref="P8"/>
    </sheetView>
  </sheetViews>
  <sheetFormatPr defaultColWidth="8.88671875" defaultRowHeight="15.6" x14ac:dyDescent="0.3"/>
  <cols>
    <col min="1" max="1" width="8.88671875" style="4"/>
    <col min="2" max="2" width="6.5546875" style="4" customWidth="1"/>
    <col min="3" max="3" width="32.88671875" style="4" customWidth="1"/>
    <col min="4" max="11" width="11.109375" style="4" customWidth="1"/>
    <col min="12" max="12" width="11.6640625" style="4" bestFit="1" customWidth="1"/>
    <col min="13" max="13" width="8.88671875" style="4"/>
    <col min="14" max="14" width="10.5546875" style="4" hidden="1" customWidth="1"/>
    <col min="15" max="15" width="11.109375" style="4" hidden="1" customWidth="1"/>
    <col min="16" max="16384" width="8.88671875" style="4"/>
  </cols>
  <sheetData>
    <row r="1" spans="2:16" ht="20.25" customHeight="1" x14ac:dyDescent="0.3">
      <c r="B1" s="267" t="s">
        <v>50</v>
      </c>
      <c r="C1" s="268"/>
      <c r="D1" s="268"/>
      <c r="E1" s="268"/>
      <c r="F1" s="268"/>
      <c r="G1" s="268"/>
      <c r="H1" s="268"/>
      <c r="I1" s="268"/>
      <c r="J1" s="268"/>
      <c r="K1" s="268"/>
      <c r="L1" s="269"/>
    </row>
    <row r="2" spans="2:16" ht="19.2" customHeight="1" thickBot="1" x14ac:dyDescent="0.35">
      <c r="B2" s="178" t="s">
        <v>0</v>
      </c>
      <c r="C2" s="179"/>
      <c r="D2" s="274"/>
      <c r="E2" s="275"/>
      <c r="F2" s="275"/>
      <c r="G2" s="275"/>
      <c r="H2" s="275"/>
      <c r="I2" s="275"/>
      <c r="J2" s="275"/>
      <c r="K2" s="276"/>
      <c r="L2" s="214" t="s">
        <v>27</v>
      </c>
    </row>
    <row r="3" spans="2:16" ht="36.6" customHeight="1" x14ac:dyDescent="0.3">
      <c r="B3" s="190" t="s">
        <v>25</v>
      </c>
      <c r="C3" s="191" t="s">
        <v>4</v>
      </c>
      <c r="D3" s="263" t="s">
        <v>7</v>
      </c>
      <c r="E3" s="264"/>
      <c r="F3" s="265"/>
      <c r="G3" s="270" t="s">
        <v>8</v>
      </c>
      <c r="H3" s="271"/>
      <c r="I3" s="272"/>
      <c r="J3" s="270" t="s">
        <v>31</v>
      </c>
      <c r="K3" s="271"/>
      <c r="L3" s="273"/>
      <c r="N3" s="259" t="s">
        <v>77</v>
      </c>
      <c r="O3" s="260"/>
    </row>
    <row r="4" spans="2:16" ht="20.100000000000001" customHeight="1" thickBot="1" x14ac:dyDescent="0.35">
      <c r="B4" s="189" t="s">
        <v>2</v>
      </c>
      <c r="C4" s="145" t="s">
        <v>71</v>
      </c>
      <c r="D4" s="88">
        <v>2023</v>
      </c>
      <c r="E4" s="92">
        <v>2024</v>
      </c>
      <c r="F4" s="92">
        <v>2025</v>
      </c>
      <c r="G4" s="88">
        <v>2023</v>
      </c>
      <c r="H4" s="92">
        <v>2024</v>
      </c>
      <c r="I4" s="92">
        <v>2025</v>
      </c>
      <c r="J4" s="88">
        <v>2023</v>
      </c>
      <c r="K4" s="92">
        <v>2024</v>
      </c>
      <c r="L4" s="89">
        <v>2025</v>
      </c>
      <c r="N4" s="205">
        <v>2024</v>
      </c>
      <c r="O4" s="206">
        <v>2025</v>
      </c>
    </row>
    <row r="5" spans="2:16" ht="20.100000000000001" customHeight="1" x14ac:dyDescent="0.3">
      <c r="B5" s="45">
        <v>1</v>
      </c>
      <c r="C5" s="133" t="s">
        <v>9</v>
      </c>
      <c r="D5" s="54">
        <f>(DEPO!J5/DEPO!D5)*100</f>
        <v>82.166233919903192</v>
      </c>
      <c r="E5" s="54">
        <f>(DEPO!K5/DEPO!E5)*100</f>
        <v>81.797462081792943</v>
      </c>
      <c r="F5" s="54">
        <f>(DEPO!L5/DEPO!F5)*100</f>
        <v>81.984214958793402</v>
      </c>
      <c r="G5" s="54">
        <f>(DEPO!G5/DEPO!D5)*100</f>
        <v>27.353450570968086</v>
      </c>
      <c r="H5" s="54">
        <f>(DEPO!H5/DEPO!E5)*100</f>
        <v>28.144189085075922</v>
      </c>
      <c r="I5" s="54">
        <f>(DEPO!I5/DEPO!F5)*100</f>
        <v>27.289859554552866</v>
      </c>
      <c r="J5" s="55">
        <f>(INCOME!D5-EXP!D5)/Assets!D5*100</f>
        <v>3.2476977098429662</v>
      </c>
      <c r="K5" s="55">
        <f>(INCOME!E5-EXP!E5)/Assets!E5*100</f>
        <v>2.9981489249097515</v>
      </c>
      <c r="L5" s="164">
        <f>(INCOME!F5-EXP!F5)/Assets!F5*100</f>
        <v>2.9832742730164856</v>
      </c>
      <c r="N5" s="207">
        <v>72</v>
      </c>
      <c r="O5" s="208">
        <v>78</v>
      </c>
    </row>
    <row r="6" spans="2:16" s="5" customFormat="1" ht="20.100000000000001" customHeight="1" x14ac:dyDescent="0.3">
      <c r="B6" s="46">
        <v>2</v>
      </c>
      <c r="C6" s="141" t="s">
        <v>10</v>
      </c>
      <c r="D6" s="30">
        <f>(DEPO!J6/DEPO!D6)*100</f>
        <v>78.068081899258885</v>
      </c>
      <c r="E6" s="30">
        <f>(DEPO!K6/DEPO!E6)*100</f>
        <v>80.245771640835812</v>
      </c>
      <c r="F6" s="30">
        <f>(DEPO!L6/DEPO!F6)*100</f>
        <v>81.923117899843845</v>
      </c>
      <c r="G6" s="30">
        <f>(DEPO!G6/DEPO!D6)*100</f>
        <v>29.636142863124398</v>
      </c>
      <c r="H6" s="30">
        <f>(DEPO!H6/DEPO!E6)*100</f>
        <v>30.824151111974597</v>
      </c>
      <c r="I6" s="30">
        <f>(DEPO!I6/DEPO!F6)*100</f>
        <v>28.12645281264528</v>
      </c>
      <c r="J6" s="37">
        <f>(INCOME!D6-EXP!D6)/Assets!D6*100</f>
        <v>3.6170999222730802</v>
      </c>
      <c r="K6" s="37">
        <f>(INCOME!E6-EXP!E6)/Assets!E6*100</f>
        <v>3.4944013610503948</v>
      </c>
      <c r="L6" s="165">
        <f>(INCOME!F6-EXP!F6)/Assets!F6*100</f>
        <v>3.4626403332316529</v>
      </c>
      <c r="N6" s="209">
        <v>87.52</v>
      </c>
      <c r="O6" s="41">
        <v>71.02</v>
      </c>
      <c r="P6" s="4"/>
    </row>
    <row r="7" spans="2:16" ht="20.100000000000001" customHeight="1" x14ac:dyDescent="0.3">
      <c r="B7" s="43">
        <v>3</v>
      </c>
      <c r="C7" s="97" t="s">
        <v>72</v>
      </c>
      <c r="D7" s="30">
        <f>(DEPO!J7/DEPO!D7)*100</f>
        <v>84.268383701660952</v>
      </c>
      <c r="E7" s="30">
        <f>(DEPO!K7/DEPO!E7)*100</f>
        <v>81.886146143182103</v>
      </c>
      <c r="F7" s="30">
        <f>(DEPO!L7/DEPO!F7)*100</f>
        <v>85.474162872960363</v>
      </c>
      <c r="G7" s="30">
        <f>(DEPO!G7/DEPO!D7)*100</f>
        <v>23.86658510777648</v>
      </c>
      <c r="H7" s="30">
        <f>(DEPO!H7/DEPO!E7)*100</f>
        <v>25.409606040620751</v>
      </c>
      <c r="I7" s="30">
        <f>(DEPO!I7/DEPO!F7)*100</f>
        <v>30.897665829569021</v>
      </c>
      <c r="J7" s="37">
        <f>(INCOME!D7-EXP!D7)/Assets!D7*100</f>
        <v>4.5738536218704438</v>
      </c>
      <c r="K7" s="37">
        <f>(INCOME!E7-EXP!E7)/Assets!E7*100</f>
        <v>4.0947703835063187</v>
      </c>
      <c r="L7" s="165">
        <f>(INCOME!F7-EXP!F7)/Assets!F7*100</f>
        <v>3.085880232718814</v>
      </c>
      <c r="N7" s="209">
        <v>86.44</v>
      </c>
      <c r="O7" s="41">
        <v>83.71</v>
      </c>
    </row>
    <row r="8" spans="2:16" ht="20.100000000000001" customHeight="1" x14ac:dyDescent="0.3">
      <c r="B8" s="45">
        <v>4</v>
      </c>
      <c r="C8" s="128" t="s">
        <v>11</v>
      </c>
      <c r="D8" s="30">
        <f>(DEPO!J8/DEPO!D8)*100</f>
        <v>70.789153400516042</v>
      </c>
      <c r="E8" s="30">
        <f>(DEPO!K8/DEPO!E8)*100</f>
        <v>70.692378261913149</v>
      </c>
      <c r="F8" s="30">
        <f>(DEPO!L8/DEPO!F8)*100</f>
        <v>74.684031236242035</v>
      </c>
      <c r="G8" s="30">
        <f>(DEPO!G8/DEPO!D8)*100</f>
        <v>29.124789819984798</v>
      </c>
      <c r="H8" s="30">
        <f>(DEPO!H8/DEPO!E8)*100</f>
        <v>27.587924964538907</v>
      </c>
      <c r="I8" s="30">
        <f>(DEPO!I8/DEPO!F8)*100</f>
        <v>24.698924966200288</v>
      </c>
      <c r="J8" s="37">
        <f>(INCOME!D8-EXP!D8)/Assets!D8*100</f>
        <v>3.1439262020614414</v>
      </c>
      <c r="K8" s="37">
        <f>(INCOME!E8-EXP!E8)/Assets!E8*100</f>
        <v>2.8721536108819201</v>
      </c>
      <c r="L8" s="165">
        <f>(INCOME!F8-EXP!F8)/Assets!F8*100</f>
        <v>2.6943837689148769</v>
      </c>
      <c r="N8" s="209">
        <v>88.32</v>
      </c>
      <c r="O8" s="41"/>
    </row>
    <row r="9" spans="2:16" ht="20.100000000000001" customHeight="1" x14ac:dyDescent="0.3">
      <c r="B9" s="43">
        <v>5</v>
      </c>
      <c r="C9" s="129" t="s">
        <v>12</v>
      </c>
      <c r="D9" s="30">
        <f>(DEPO!J9/DEPO!D9)*100</f>
        <v>81.751777201545138</v>
      </c>
      <c r="E9" s="30">
        <f>(DEPO!K9/DEPO!E9)*100</f>
        <v>82.920839734781083</v>
      </c>
      <c r="F9" s="30">
        <f>(DEPO!L9/DEPO!F9)*100</f>
        <v>82.791639213281201</v>
      </c>
      <c r="G9" s="30">
        <f>(DEPO!G9/DEPO!D9)*100</f>
        <v>22.95527392513587</v>
      </c>
      <c r="H9" s="30">
        <f>(DEPO!H9/DEPO!E9)*100</f>
        <v>24.099537163349318</v>
      </c>
      <c r="I9" s="30">
        <f>(DEPO!I9/DEPO!F9)*100</f>
        <v>23.354909529071424</v>
      </c>
      <c r="J9" s="37">
        <f>(INCOME!D9-EXP!D9)/Assets!D9*100</f>
        <v>2.7779477466222011</v>
      </c>
      <c r="K9" s="37">
        <f>(INCOME!E9-EXP!E9)/Assets!E9*100</f>
        <v>2.6899651586478357</v>
      </c>
      <c r="L9" s="165">
        <f>(INCOME!F9-EXP!F9)/Assets!F9*100</f>
        <v>2.7128538060221525</v>
      </c>
      <c r="N9" s="209">
        <v>82.68</v>
      </c>
      <c r="O9" s="41">
        <v>75.37</v>
      </c>
    </row>
    <row r="10" spans="2:16" ht="20.100000000000001" customHeight="1" x14ac:dyDescent="0.3">
      <c r="B10" s="43">
        <v>6</v>
      </c>
      <c r="C10" s="97" t="s">
        <v>13</v>
      </c>
      <c r="D10" s="30">
        <f>(DEPO!J10/DEPO!D10)*100</f>
        <v>67.426088595355537</v>
      </c>
      <c r="E10" s="30">
        <f>(DEPO!K10/DEPO!E10)*100</f>
        <v>69.568979179725332</v>
      </c>
      <c r="F10" s="30">
        <f>(DEPO!L10/DEPO!F10)*100</f>
        <v>70.134683130705326</v>
      </c>
      <c r="G10" s="30">
        <f>(DEPO!G10/DEPO!D10)*100</f>
        <v>28.539594224749671</v>
      </c>
      <c r="H10" s="30">
        <f>(DEPO!H10/DEPO!E10)*100</f>
        <v>25.959092813930518</v>
      </c>
      <c r="I10" s="30">
        <f>(DEPO!I10/DEPO!F10)*100</f>
        <v>27.739657935083027</v>
      </c>
      <c r="J10" s="37">
        <f>(INCOME!D10-EXP!D10)/Assets!D10*100</f>
        <v>3.251032150365444</v>
      </c>
      <c r="K10" s="37">
        <f>(INCOME!E10-EXP!E10)/Assets!E10*100</f>
        <v>3.3675045828682304</v>
      </c>
      <c r="L10" s="165">
        <f>(INCOME!F10-EXP!F10)/Assets!F10*100</f>
        <v>3.4188188516719369</v>
      </c>
      <c r="N10" s="209">
        <v>91.58</v>
      </c>
      <c r="O10" s="41">
        <v>90.28</v>
      </c>
    </row>
    <row r="11" spans="2:16" ht="20.100000000000001" customHeight="1" x14ac:dyDescent="0.3">
      <c r="B11" s="45">
        <v>7</v>
      </c>
      <c r="C11" s="97" t="s">
        <v>14</v>
      </c>
      <c r="D11" s="30">
        <f>(DEPO!J11/DEPO!D11)*100</f>
        <v>68.619646939423262</v>
      </c>
      <c r="E11" s="30">
        <f>(DEPO!K11/DEPO!E11)*100</f>
        <v>72.976772105871504</v>
      </c>
      <c r="F11" s="30">
        <f>(DEPO!L11/DEPO!F11)*100</f>
        <v>73.030543904829699</v>
      </c>
      <c r="G11" s="30">
        <f>(DEPO!G11/DEPO!D11)*100</f>
        <v>26.698982842804821</v>
      </c>
      <c r="H11" s="30">
        <f>(DEPO!H11/DEPO!E11)*100</f>
        <v>24.800991384474582</v>
      </c>
      <c r="I11" s="30">
        <f>(DEPO!I11/DEPO!F11)*100</f>
        <v>23.411027208074533</v>
      </c>
      <c r="J11" s="37">
        <f>(INCOME!D11-EXP!D11)/Assets!D11*100</f>
        <v>3.2153779277948726</v>
      </c>
      <c r="K11" s="37">
        <f>(INCOME!E11-EXP!E11)/Assets!E11*100</f>
        <v>2.8416524263302176</v>
      </c>
      <c r="L11" s="165">
        <f>(INCOME!F11-EXP!F11)/Assets!F11*100</f>
        <v>2.7389800150221189</v>
      </c>
      <c r="N11" s="209">
        <v>79.22</v>
      </c>
      <c r="O11" s="73">
        <v>78</v>
      </c>
    </row>
    <row r="12" spans="2:16" ht="20.100000000000001" customHeight="1" x14ac:dyDescent="0.3">
      <c r="B12" s="43">
        <v>8</v>
      </c>
      <c r="C12" s="97" t="s">
        <v>15</v>
      </c>
      <c r="D12" s="30">
        <f>(DEPO!J12/DEPO!D12)*100</f>
        <v>82.380132566816428</v>
      </c>
      <c r="E12" s="30">
        <f>(DEPO!K12/DEPO!E12)*100</f>
        <v>82.667749340385967</v>
      </c>
      <c r="F12" s="30">
        <f>(DEPO!L12/DEPO!F12)*100</f>
        <v>82.294469160295961</v>
      </c>
      <c r="G12" s="30">
        <f>(DEPO!G12/DEPO!D12)*100</f>
        <v>24.5419022886683</v>
      </c>
      <c r="H12" s="30">
        <f>(DEPO!H12/DEPO!E12)*100</f>
        <v>25.0733228656919</v>
      </c>
      <c r="I12" s="30">
        <f>(DEPO!I12/DEPO!F12)*100</f>
        <v>23.346119961805673</v>
      </c>
      <c r="J12" s="37">
        <f>(INCOME!D12-EXP!D12)/Assets!D12*100</f>
        <v>3.7134969375496096</v>
      </c>
      <c r="K12" s="37">
        <f>(INCOME!E12-EXP!E12)/Assets!E12*100</f>
        <v>3.6209596554909731</v>
      </c>
      <c r="L12" s="165">
        <f>(INCOME!F12-EXP!F12)/Assets!F12*100</f>
        <v>3.5687459777550701</v>
      </c>
      <c r="N12" s="209">
        <v>94.85</v>
      </c>
      <c r="O12" s="41"/>
    </row>
    <row r="13" spans="2:16" s="5" customFormat="1" ht="20.100000000000001" customHeight="1" x14ac:dyDescent="0.3">
      <c r="B13" s="46">
        <v>9</v>
      </c>
      <c r="C13" s="141" t="s">
        <v>16</v>
      </c>
      <c r="D13" s="30">
        <f>(DEPO!J13/DEPO!D13)*100</f>
        <v>56.198114509322004</v>
      </c>
      <c r="E13" s="30">
        <f>(DEPO!K13/DEPO!E13)*100</f>
        <v>54.644219528605653</v>
      </c>
      <c r="F13" s="30">
        <f>(DEPO!L13/DEPO!F13)*100</f>
        <v>56.492726075819398</v>
      </c>
      <c r="G13" s="30">
        <f>(DEPO!G13/DEPO!D13)*100</f>
        <v>277.30717460185218</v>
      </c>
      <c r="H13" s="30">
        <f>(DEPO!H13/DEPO!E13)*100</f>
        <v>24.058235278778092</v>
      </c>
      <c r="I13" s="30">
        <f>(DEPO!I13/DEPO!F13)*100</f>
        <v>22.491847810419486</v>
      </c>
      <c r="J13" s="37">
        <f>(INCOME!D13-EXP!D13)/Assets!D13*100</f>
        <v>3.2231778253036003</v>
      </c>
      <c r="K13" s="37">
        <f>(INCOME!E13-EXP!E13)/Assets!E13*100</f>
        <v>3.4392706769292465</v>
      </c>
      <c r="L13" s="165">
        <f>(INCOME!F13-EXP!F13)/Assets!F13*100</f>
        <v>3.3206024364855904</v>
      </c>
      <c r="N13" s="210">
        <v>89.22</v>
      </c>
      <c r="O13" s="39">
        <v>92.67</v>
      </c>
    </row>
    <row r="14" spans="2:16" ht="20.100000000000001" customHeight="1" x14ac:dyDescent="0.3">
      <c r="B14" s="43">
        <v>10</v>
      </c>
      <c r="C14" s="97" t="s">
        <v>26</v>
      </c>
      <c r="D14" s="30">
        <f>(DEPO!J14/DEPO!D14)*100</f>
        <v>82.709657552223845</v>
      </c>
      <c r="E14" s="30">
        <f>(DEPO!K14/DEPO!E14)*100</f>
        <v>81.151800691057218</v>
      </c>
      <c r="F14" s="30">
        <f>(DEPO!L14/DEPO!F14)*100</f>
        <v>83.482353590155284</v>
      </c>
      <c r="G14" s="30">
        <f>(DEPO!G14/DEPO!D14)*100</f>
        <v>34.016531717874635</v>
      </c>
      <c r="H14" s="30">
        <f>(DEPO!H14/DEPO!E14)*100</f>
        <v>28.577467592198936</v>
      </c>
      <c r="I14" s="30">
        <f>(DEPO!I14/DEPO!F14)*100</f>
        <v>28.992001606583095</v>
      </c>
      <c r="J14" s="37">
        <f>(INCOME!D14-EXP!D14)/Assets!D14*100</f>
        <v>4.3133886533021712</v>
      </c>
      <c r="K14" s="37">
        <f>(INCOME!E14-EXP!E14)/Assets!E14*100</f>
        <v>4.3652340737751709</v>
      </c>
      <c r="L14" s="165">
        <f>(INCOME!F14-EXP!F14)/Assets!F14*100</f>
        <v>4.4048382053342054</v>
      </c>
      <c r="N14" s="209">
        <v>72.73</v>
      </c>
      <c r="O14" s="73">
        <v>96.4</v>
      </c>
    </row>
    <row r="15" spans="2:16" ht="19.5" customHeight="1" thickBot="1" x14ac:dyDescent="0.35">
      <c r="B15" s="44">
        <v>11</v>
      </c>
      <c r="C15" s="132" t="s">
        <v>17</v>
      </c>
      <c r="D15" s="49">
        <f>(DEPO!J15/DEPO!D15)*100</f>
        <v>76.163024330792723</v>
      </c>
      <c r="E15" s="49">
        <f>(DEPO!K15/DEPO!E15)*100</f>
        <v>76.589924319266842</v>
      </c>
      <c r="F15" s="49">
        <f>(DEPO!L15/DEPO!F15)*100</f>
        <v>79.685274948477385</v>
      </c>
      <c r="G15" s="49">
        <f>(DEPO!G15/DEPO!D15)*100</f>
        <v>26.886456118758751</v>
      </c>
      <c r="H15" s="49">
        <f>(DEPO!H15/DEPO!E15)*100</f>
        <v>23.52527358152344</v>
      </c>
      <c r="I15" s="49">
        <f>(DEPO!I15/DEPO!F15)*100</f>
        <v>20.253018815984287</v>
      </c>
      <c r="J15" s="51">
        <f>(INCOME!D15-EXP!D15)/Assets!D15*100</f>
        <v>2.7967789242120897</v>
      </c>
      <c r="K15" s="51">
        <f>(INCOME!E15-EXP!E15)/Assets!E15*100</f>
        <v>2.8378935548674038</v>
      </c>
      <c r="L15" s="167">
        <f>(INCOME!F15-EXP!F15)/Assets!F15*100</f>
        <v>2.7962269018713388</v>
      </c>
      <c r="N15" s="211">
        <v>79.099999999999994</v>
      </c>
      <c r="O15" s="41"/>
    </row>
    <row r="16" spans="2:16" ht="20.100000000000001" customHeight="1" thickBot="1" x14ac:dyDescent="0.35">
      <c r="B16" s="218" t="s">
        <v>63</v>
      </c>
      <c r="C16" s="219"/>
      <c r="D16" s="50">
        <f>(DEPO!J16/DEPO!D16)*100</f>
        <v>77.232215054346071</v>
      </c>
      <c r="E16" s="50">
        <f>(DEPO!K16/DEPO!E16)*100</f>
        <v>78.376740961730135</v>
      </c>
      <c r="F16" s="50">
        <f>(DEPO!L16/DEPO!F16)*100</f>
        <v>79.357390882361202</v>
      </c>
      <c r="G16" s="50">
        <f>(DEPO!G16/DEPO!D16)*100</f>
        <v>29.086184813493947</v>
      </c>
      <c r="H16" s="50">
        <f>(DEPO!H16/DEPO!E16)*100</f>
        <v>25.654650532837465</v>
      </c>
      <c r="I16" s="50">
        <f>(DEPO!I16/DEPO!F16)*100</f>
        <v>25.041217253634311</v>
      </c>
      <c r="J16" s="53">
        <f>(INCOME!D16-EXP!D16)/Assets!D16*100</f>
        <v>3.2980690328684399</v>
      </c>
      <c r="K16" s="53">
        <f>(INCOME!E16-EXP!E16)/Assets!E16*100</f>
        <v>3.2205459756240331</v>
      </c>
      <c r="L16" s="188">
        <f>(INCOME!F16-EXP!F16)/Assets!F16*100</f>
        <v>3.1752189367488532</v>
      </c>
      <c r="N16" s="209"/>
      <c r="O16" s="41"/>
    </row>
    <row r="17" spans="2:15" ht="20.100000000000001" customHeight="1" thickBot="1" x14ac:dyDescent="0.35">
      <c r="B17" s="153" t="s">
        <v>3</v>
      </c>
      <c r="C17" s="228" t="s">
        <v>18</v>
      </c>
      <c r="D17" s="229"/>
      <c r="E17" s="229"/>
      <c r="F17" s="229"/>
      <c r="G17" s="229"/>
      <c r="H17" s="229"/>
      <c r="I17" s="229"/>
      <c r="J17" s="229"/>
      <c r="K17" s="229"/>
      <c r="L17" s="230"/>
      <c r="N17" s="261"/>
      <c r="O17" s="262"/>
    </row>
    <row r="18" spans="2:15" ht="20.100000000000001" customHeight="1" x14ac:dyDescent="0.3">
      <c r="B18" s="42">
        <v>12</v>
      </c>
      <c r="C18" s="130" t="s">
        <v>19</v>
      </c>
      <c r="D18" s="66">
        <f>(DEPO!J18/DEPO!D18)*100</f>
        <v>89.26628817310349</v>
      </c>
      <c r="E18" s="66">
        <f>(DEPO!K18/DEPO!E18)*100</f>
        <v>90.307973192017215</v>
      </c>
      <c r="F18" s="66">
        <f>(DEPO!L18/DEPO!F18)*100</f>
        <v>88.734347377653179</v>
      </c>
      <c r="G18" s="66">
        <f>(DEPO!G18/DEPO!D18)*100</f>
        <v>30.499634714874375</v>
      </c>
      <c r="H18" s="66">
        <f>(DEPO!H18/DEPO!E18)*100</f>
        <v>31.023246254760924</v>
      </c>
      <c r="I18" s="66">
        <f>(DEPO!I18/DEPO!F18)*100</f>
        <v>33.773060043837084</v>
      </c>
      <c r="J18" s="70">
        <f>(INCOME!D18-EXP!D18)/Assets!D18*100</f>
        <v>3.2600711837718657</v>
      </c>
      <c r="K18" s="70">
        <f>(INCOME!E18-EXP!E18)/Assets!E18*100</f>
        <v>3.3776191121551822</v>
      </c>
      <c r="L18" s="166">
        <f>(INCOME!F18-EXP!F18)/Assets!F18*100</f>
        <v>3.3757880187924703</v>
      </c>
      <c r="N18" s="209">
        <v>94.07</v>
      </c>
      <c r="O18" s="41">
        <v>75</v>
      </c>
    </row>
    <row r="19" spans="2:15" ht="20.100000000000001" customHeight="1" x14ac:dyDescent="0.3">
      <c r="B19" s="43">
        <v>13</v>
      </c>
      <c r="C19" s="97" t="s">
        <v>33</v>
      </c>
      <c r="D19" s="30">
        <f>(DEPO!J19/DEPO!D19)*100</f>
        <v>83.363115077483855</v>
      </c>
      <c r="E19" s="30">
        <f>(DEPO!K19/DEPO!E19)*100</f>
        <v>82.922081987671277</v>
      </c>
      <c r="F19" s="30">
        <f>(DEPO!L19/DEPO!F19)*100</f>
        <v>85.034319796704878</v>
      </c>
      <c r="G19" s="30">
        <f>(DEPO!G19/DEPO!D19)*100</f>
        <v>30.511136206073335</v>
      </c>
      <c r="H19" s="30">
        <f>(DEPO!H19/DEPO!E19)*100</f>
        <v>32.846716807458435</v>
      </c>
      <c r="I19" s="30">
        <f>(DEPO!I19/DEPO!F19)*100</f>
        <v>33.565852281198289</v>
      </c>
      <c r="J19" s="37">
        <f>(INCOME!D19-EXP!D19)/Assets!D19*100</f>
        <v>3.2788722883817267</v>
      </c>
      <c r="K19" s="37">
        <f>(INCOME!E19-EXP!E19)/Assets!E19*100</f>
        <v>3.0583640044881601</v>
      </c>
      <c r="L19" s="165">
        <f>(INCOME!F19-EXP!F19)/Assets!F19*100</f>
        <v>2.7425804370224727</v>
      </c>
      <c r="N19" s="211">
        <v>77.3</v>
      </c>
      <c r="O19" s="41">
        <v>74.48</v>
      </c>
    </row>
    <row r="20" spans="2:15" ht="20.100000000000001" customHeight="1" x14ac:dyDescent="0.3">
      <c r="B20" s="43">
        <v>14</v>
      </c>
      <c r="C20" s="97" t="s">
        <v>20</v>
      </c>
      <c r="D20" s="30">
        <f>(DEPO!J20/DEPO!D20)*100</f>
        <v>84.984095075347057</v>
      </c>
      <c r="E20" s="30">
        <f>(DEPO!K20/DEPO!E20)*100</f>
        <v>104.41532253896347</v>
      </c>
      <c r="F20" s="30">
        <f>(DEPO!L20/DEPO!F20)*100</f>
        <v>96.496638007917511</v>
      </c>
      <c r="G20" s="30">
        <f>(DEPO!G20/DEPO!D20)*100</f>
        <v>27.450509642256872</v>
      </c>
      <c r="H20" s="30">
        <f>(DEPO!H20/DEPO!E20)*100</f>
        <v>29.515884090230156</v>
      </c>
      <c r="I20" s="30">
        <f>(DEPO!I20/DEPO!F20)*100</f>
        <v>30.808379914959026</v>
      </c>
      <c r="J20" s="37">
        <f>(INCOME!D20-EXP!D20)/Assets!D20*100</f>
        <v>3.5214667765154291</v>
      </c>
      <c r="K20" s="37">
        <f>(INCOME!E20-EXP!E20)/Assets!E20*100</f>
        <v>3.0001041623170099</v>
      </c>
      <c r="L20" s="165">
        <f>(INCOME!F20-EXP!F20)/Assets!F20*100</f>
        <v>3.1371828360221481</v>
      </c>
      <c r="N20" s="209">
        <v>74.040000000000006</v>
      </c>
      <c r="O20" s="41">
        <v>76.2</v>
      </c>
    </row>
    <row r="21" spans="2:15" ht="20.100000000000001" customHeight="1" x14ac:dyDescent="0.3">
      <c r="B21" s="43">
        <v>15</v>
      </c>
      <c r="C21" s="97" t="s">
        <v>21</v>
      </c>
      <c r="D21" s="30">
        <f>(DEPO!J21/DEPO!D21)*100</f>
        <v>86.348507350301432</v>
      </c>
      <c r="E21" s="30">
        <f>(DEPO!K21/DEPO!E21)*100</f>
        <v>83.832493898129414</v>
      </c>
      <c r="F21" s="30">
        <f>(DEPO!L21/DEPO!F21)*100</f>
        <v>83.321502143368974</v>
      </c>
      <c r="G21" s="30">
        <f>(DEPO!G21/DEPO!D21)*100</f>
        <v>30.684048497685151</v>
      </c>
      <c r="H21" s="30">
        <f>(DEPO!H21/DEPO!E21)*100</f>
        <v>32.696355624240638</v>
      </c>
      <c r="I21" s="30">
        <f>(DEPO!I21/DEPO!F21)*100</f>
        <v>31.344574820540966</v>
      </c>
      <c r="J21" s="37">
        <f>(INCOME!D21-EXP!D21)/Assets!D21*100</f>
        <v>3.9217484663380251</v>
      </c>
      <c r="K21" s="37">
        <f>(INCOME!E21-EXP!E21)/Assets!E21*100</f>
        <v>3.9703521839514604</v>
      </c>
      <c r="L21" s="165">
        <f>(INCOME!F21-EXP!F21)/Assets!F21*100</f>
        <v>3.8316924026317944</v>
      </c>
      <c r="N21" s="209">
        <v>80.31</v>
      </c>
      <c r="O21" s="41">
        <v>76.2</v>
      </c>
    </row>
    <row r="22" spans="2:15" ht="20.100000000000001" customHeight="1" x14ac:dyDescent="0.3">
      <c r="B22" s="43">
        <v>16</v>
      </c>
      <c r="C22" s="97" t="s">
        <v>22</v>
      </c>
      <c r="D22" s="30">
        <f>(DEPO!J22/DEPO!D22)*100</f>
        <v>86.174439081133897</v>
      </c>
      <c r="E22" s="30">
        <f>(DEPO!K22/DEPO!E22)*100</f>
        <v>89.216368637967662</v>
      </c>
      <c r="F22" s="30">
        <f>(DEPO!L22/DEPO!F22)*100</f>
        <v>83.930181741116172</v>
      </c>
      <c r="G22" s="30">
        <f>(DEPO!G22/DEPO!D22)*100</f>
        <v>24.704749586357835</v>
      </c>
      <c r="H22" s="30">
        <f>(DEPO!H22/DEPO!E22)*100</f>
        <v>27.684165810535188</v>
      </c>
      <c r="I22" s="30">
        <f>(DEPO!I22/DEPO!F22)*100</f>
        <v>27.852806768075773</v>
      </c>
      <c r="J22" s="37">
        <f>(INCOME!D22-EXP!D22)/Assets!D22*100</f>
        <v>3.8427161140230206</v>
      </c>
      <c r="K22" s="37">
        <f>(INCOME!E22-EXP!E22)/Assets!E22*100</f>
        <v>4.0035934622058722</v>
      </c>
      <c r="L22" s="165">
        <f>(INCOME!F22-EXP!F22)/Assets!F22*100</f>
        <v>3.4351420403108248</v>
      </c>
      <c r="N22" s="209">
        <v>70.58</v>
      </c>
      <c r="O22" s="41"/>
    </row>
    <row r="23" spans="2:15" ht="20.100000000000001" customHeight="1" x14ac:dyDescent="0.3">
      <c r="B23" s="43">
        <v>17</v>
      </c>
      <c r="C23" s="97" t="s">
        <v>23</v>
      </c>
      <c r="D23" s="30">
        <f>(DEPO!J23/DEPO!D23)*100</f>
        <v>88.092726428723211</v>
      </c>
      <c r="E23" s="30">
        <f>(DEPO!K23/DEPO!E23)*100</f>
        <v>83.767040591597691</v>
      </c>
      <c r="F23" s="30">
        <f>(DEPO!L23/DEPO!F23)*100</f>
        <v>85.54349496417359</v>
      </c>
      <c r="G23" s="30">
        <f>(DEPO!G23/DEPO!D23)*100</f>
        <v>33.435706612616691</v>
      </c>
      <c r="H23" s="30">
        <f>(DEPO!H23/DEPO!E23)*100</f>
        <v>34.61464794536186</v>
      </c>
      <c r="I23" s="30">
        <f>(DEPO!I23/DEPO!F23)*100</f>
        <v>36.450371725464478</v>
      </c>
      <c r="J23" s="37">
        <f>(INCOME!D23-EXP!D23)/Assets!D23*100</f>
        <v>4.3995857776247735</v>
      </c>
      <c r="K23" s="37">
        <f>(INCOME!E23-EXP!E23)/Assets!E23*100</f>
        <v>4.3296235132076824</v>
      </c>
      <c r="L23" s="165">
        <f>(INCOME!F23-EXP!F23)/Assets!F23*100</f>
        <v>4.0860426751558752</v>
      </c>
      <c r="N23" s="209">
        <v>80.069999999999993</v>
      </c>
      <c r="O23" s="212">
        <v>78</v>
      </c>
    </row>
    <row r="24" spans="2:15" ht="20.100000000000001" customHeight="1" x14ac:dyDescent="0.3">
      <c r="B24" s="43">
        <v>18</v>
      </c>
      <c r="C24" s="97" t="s">
        <v>24</v>
      </c>
      <c r="D24" s="30">
        <f>(DEPO!J24/DEPO!D24)*100</f>
        <v>93.456414579627051</v>
      </c>
      <c r="E24" s="30">
        <f>(DEPO!K24/DEPO!E24)*100</f>
        <v>85.519245497756032</v>
      </c>
      <c r="F24" s="30">
        <f>(DEPO!L24/DEPO!F24)*100</f>
        <v>86.52608998017152</v>
      </c>
      <c r="G24" s="30">
        <f>(DEPO!G24/DEPO!D24)*100</f>
        <v>35.350640219812377</v>
      </c>
      <c r="H24" s="30">
        <f>(DEPO!H24/DEPO!E24)*100</f>
        <v>33.87558467538107</v>
      </c>
      <c r="I24" s="30">
        <f>(DEPO!I24/DEPO!F24)*100</f>
        <v>29.911059174281018</v>
      </c>
      <c r="J24" s="37">
        <f>(INCOME!D24-EXP!D24)/Assets!D24*100</f>
        <v>2.2316458650736992</v>
      </c>
      <c r="K24" s="37">
        <f>(INCOME!E24-EXP!E24)/Assets!E24*100</f>
        <v>1.9962416612923441</v>
      </c>
      <c r="L24" s="165">
        <f>(INCOME!F24-EXP!F24)/Assets!F24*100</f>
        <v>2.1123946471406909</v>
      </c>
      <c r="N24" s="209">
        <v>66.61</v>
      </c>
      <c r="O24" s="41"/>
    </row>
    <row r="25" spans="2:15" ht="20.100000000000001" customHeight="1" x14ac:dyDescent="0.3">
      <c r="B25" s="43">
        <v>19</v>
      </c>
      <c r="C25" s="97" t="s">
        <v>29</v>
      </c>
      <c r="D25" s="30">
        <f>(DEPO!J25/DEPO!D25)*100</f>
        <v>96.93894370122193</v>
      </c>
      <c r="E25" s="30">
        <f>(DEPO!K25/DEPO!E25)*100</f>
        <v>89.596900134154836</v>
      </c>
      <c r="F25" s="30">
        <f>(DEPO!L25/DEPO!F25)*100</f>
        <v>87.285984011149765</v>
      </c>
      <c r="G25" s="30">
        <f>(DEPO!G25/DEPO!D25)*100</f>
        <v>29.950476885650623</v>
      </c>
      <c r="H25" s="30">
        <f>(DEPO!H25/DEPO!E25)*100</f>
        <v>21.662092522609505</v>
      </c>
      <c r="I25" s="30">
        <f>(DEPO!I25/DEPO!F25)*100</f>
        <v>26.923882462917305</v>
      </c>
      <c r="J25" s="37">
        <f>(INCOME!D25-EXP!D25)/Assets!D25*100</f>
        <v>5.9342422249191884</v>
      </c>
      <c r="K25" s="37">
        <f>(INCOME!E25-EXP!E25)/Assets!E25*100</f>
        <v>5.8022633493314402</v>
      </c>
      <c r="L25" s="165">
        <f>(INCOME!F25-EXP!F25)/Assets!F25*100</f>
        <v>6.0010474351762877</v>
      </c>
      <c r="N25" s="209">
        <v>84.49</v>
      </c>
      <c r="O25" s="41">
        <v>86.5</v>
      </c>
    </row>
    <row r="26" spans="2:15" ht="20.100000000000001" customHeight="1" x14ac:dyDescent="0.3">
      <c r="B26" s="43">
        <v>20</v>
      </c>
      <c r="C26" s="96" t="s">
        <v>49</v>
      </c>
      <c r="D26" s="30">
        <f>(DEPO!J26/DEPO!D26)*100</f>
        <v>104.94839125534068</v>
      </c>
      <c r="E26" s="30">
        <f>(DEPO!K26/DEPO!E26)*100</f>
        <v>97.016626739219603</v>
      </c>
      <c r="F26" s="30">
        <f>(DEPO!L26/DEPO!F26)*100</f>
        <v>92.481026242213076</v>
      </c>
      <c r="G26" s="30">
        <f>(DEPO!G26/DEPO!D26)*100</f>
        <v>42.259877482511257</v>
      </c>
      <c r="H26" s="30">
        <f>(DEPO!H26/DEPO!E26)*100</f>
        <v>37.247863419164503</v>
      </c>
      <c r="I26" s="30">
        <f>(DEPO!I26/DEPO!F26)*100</f>
        <v>32.021676926906821</v>
      </c>
      <c r="J26" s="37">
        <f>(INCOME!D26-EXP!D26)/Assets!D26*100</f>
        <v>5.2660009103879677</v>
      </c>
      <c r="K26" s="37">
        <f>(INCOME!E26-EXP!E26)/Assets!E26*100</f>
        <v>5.5555255371982044</v>
      </c>
      <c r="L26" s="165">
        <f>(INCOME!F26-EXP!F26)/Assets!F26*100</f>
        <v>5.6110888690883982</v>
      </c>
      <c r="N26" s="209">
        <v>86.58</v>
      </c>
      <c r="O26" s="41">
        <v>72.3</v>
      </c>
    </row>
    <row r="27" spans="2:15" ht="20.100000000000001" customHeight="1" thickBot="1" x14ac:dyDescent="0.35">
      <c r="B27" s="44">
        <v>21</v>
      </c>
      <c r="C27" s="131" t="s">
        <v>44</v>
      </c>
      <c r="D27" s="49">
        <f>(DEPO!J27/DEPO!D27)*100</f>
        <v>63.629765621009518</v>
      </c>
      <c r="E27" s="49">
        <f>(DEPO!K27/DEPO!E27)*100</f>
        <v>67.932903023375374</v>
      </c>
      <c r="F27" s="49">
        <f>(DEPO!L27/DEPO!F27)*100</f>
        <v>70.384538534422191</v>
      </c>
      <c r="G27" s="49">
        <f>(DEPO!G27/DEPO!D27)*100</f>
        <v>39.01903029100351</v>
      </c>
      <c r="H27" s="49">
        <f>(DEPO!H27/DEPO!E27)*100</f>
        <v>41.394291853818899</v>
      </c>
      <c r="I27" s="49">
        <f>(DEPO!I27/DEPO!F27)*100</f>
        <v>37.857000135355499</v>
      </c>
      <c r="J27" s="51">
        <f>(INCOME!D27-EXP!D27)/Assets!D27*100</f>
        <v>3.4585395694590049</v>
      </c>
      <c r="K27" s="51">
        <f>(INCOME!E27-EXP!E27)/Assets!E27*100</f>
        <v>3.9018970069696177</v>
      </c>
      <c r="L27" s="167">
        <f>(INCOME!F27-EXP!F27)/Assets!F27*100</f>
        <v>3.5529234005650281</v>
      </c>
      <c r="N27" s="209">
        <v>99.09</v>
      </c>
      <c r="O27" s="41">
        <v>99.48</v>
      </c>
    </row>
    <row r="28" spans="2:15" ht="20.100000000000001" customHeight="1" thickBot="1" x14ac:dyDescent="0.35">
      <c r="B28" s="218" t="s">
        <v>69</v>
      </c>
      <c r="C28" s="219"/>
      <c r="D28" s="50">
        <f>(DEPO!J28/DEPO!D28)*100</f>
        <v>86.388881123998431</v>
      </c>
      <c r="E28" s="50">
        <f>(DEPO!K28/DEPO!E28)*100</f>
        <v>92.491480021617832</v>
      </c>
      <c r="F28" s="50">
        <f>(DEPO!L28/DEPO!F28)*100</f>
        <v>89.132093602466384</v>
      </c>
      <c r="G28" s="50">
        <f>(DEPO!G28/DEPO!D28)*100</f>
        <v>30.219466328717214</v>
      </c>
      <c r="H28" s="50">
        <f>(DEPO!H28/DEPO!E28)*100</f>
        <v>31.448412145841893</v>
      </c>
      <c r="I28" s="50">
        <f>(DEPO!I28/DEPO!F28)*100</f>
        <v>31.847371073337307</v>
      </c>
      <c r="J28" s="53">
        <f>(INCOME!D28-EXP!D28)/Assets!D28*100</f>
        <v>3.6786668498160897</v>
      </c>
      <c r="K28" s="53">
        <f>(INCOME!E28-EXP!E28)/Assets!E28*100</f>
        <v>3.5186489698848389</v>
      </c>
      <c r="L28" s="188">
        <f>(INCOME!F28-EXP!F28)/Assets!F28*100</f>
        <v>3.5034156241276837</v>
      </c>
      <c r="N28" s="209"/>
      <c r="O28" s="41"/>
    </row>
    <row r="29" spans="2:15" ht="20.100000000000001" customHeight="1" thickBot="1" x14ac:dyDescent="0.35">
      <c r="B29" s="216" t="s">
        <v>70</v>
      </c>
      <c r="C29" s="217"/>
      <c r="D29" s="64">
        <f>(DEPO!J29/DEPO!D29)*100</f>
        <v>85.19450367691303</v>
      </c>
      <c r="E29" s="64">
        <f>(DEPO!K29/DEPO!E29)*100</f>
        <v>90.741894654281722</v>
      </c>
      <c r="F29" s="64">
        <f>(DEPO!L29/DEPO!F29)*100</f>
        <v>87.941132341410864</v>
      </c>
      <c r="G29" s="64">
        <f>(DEPO!G29/DEPO!D29)*100</f>
        <v>30.071643324942126</v>
      </c>
      <c r="H29" s="64">
        <f>(DEPO!H29/DEPO!E29)*100</f>
        <v>30.730249344748863</v>
      </c>
      <c r="I29" s="64">
        <f>(DEPO!I29/DEPO!F29)*100</f>
        <v>31.018101297246954</v>
      </c>
      <c r="J29" s="65">
        <f>(INCOME!D29-EXP!D29)/Assets!D29*100</f>
        <v>3.6337566950748119</v>
      </c>
      <c r="K29" s="65">
        <f>(INCOME!E29-EXP!E29)/Assets!E29*100</f>
        <v>3.4865221703841458</v>
      </c>
      <c r="L29" s="192">
        <f>(INCOME!F29-EXP!F29)/Assets!F29*100</f>
        <v>3.4680162570320494</v>
      </c>
      <c r="N29" s="213"/>
      <c r="O29" s="100"/>
    </row>
    <row r="30" spans="2:15" x14ac:dyDescent="0.3">
      <c r="B30" s="7"/>
      <c r="C30" s="6"/>
      <c r="D30" s="26"/>
      <c r="E30" s="26"/>
      <c r="F30" s="26"/>
      <c r="G30" s="27"/>
      <c r="H30" s="27"/>
      <c r="I30" s="27"/>
    </row>
    <row r="31" spans="2:15" x14ac:dyDescent="0.3">
      <c r="B31" s="266" t="s">
        <v>83</v>
      </c>
      <c r="C31" s="266"/>
      <c r="D31" s="266"/>
      <c r="E31" s="266"/>
      <c r="F31" s="266"/>
      <c r="G31" s="266"/>
      <c r="H31" s="266"/>
      <c r="I31" s="266"/>
      <c r="J31" s="266"/>
      <c r="K31" s="266"/>
      <c r="L31" s="266"/>
    </row>
    <row r="32" spans="2:15" x14ac:dyDescent="0.3">
      <c r="B32" s="7"/>
      <c r="C32" s="6"/>
      <c r="D32" s="26"/>
      <c r="E32" s="26"/>
      <c r="F32" s="26"/>
      <c r="G32" s="27"/>
      <c r="H32" s="27"/>
      <c r="I32" s="27"/>
    </row>
    <row r="33" spans="2:9" x14ac:dyDescent="0.3">
      <c r="B33" s="7"/>
      <c r="C33" s="6"/>
      <c r="D33" s="26"/>
      <c r="E33" s="26"/>
      <c r="F33" s="26"/>
      <c r="G33" s="27"/>
      <c r="H33" s="27"/>
      <c r="I33" s="27"/>
    </row>
    <row r="34" spans="2:9" x14ac:dyDescent="0.3">
      <c r="B34" s="7"/>
      <c r="C34" s="2"/>
      <c r="D34" s="28"/>
      <c r="E34" s="28"/>
      <c r="F34" s="28"/>
      <c r="G34" s="29"/>
      <c r="H34" s="29"/>
      <c r="I34" s="29"/>
    </row>
    <row r="35" spans="2:9" ht="23.4" customHeight="1" x14ac:dyDescent="0.3">
      <c r="B35" s="7"/>
      <c r="C35" s="2"/>
      <c r="D35" s="28"/>
      <c r="E35" s="28"/>
      <c r="F35" s="28"/>
      <c r="G35" s="29"/>
      <c r="H35" s="29"/>
      <c r="I35" s="29"/>
    </row>
    <row r="36" spans="2:9" ht="20.100000000000001" customHeight="1" x14ac:dyDescent="0.3">
      <c r="B36" s="7"/>
      <c r="C36" s="2"/>
      <c r="D36" s="15"/>
      <c r="E36" s="15"/>
      <c r="F36" s="15"/>
      <c r="G36" s="15"/>
      <c r="H36" s="15"/>
      <c r="I36" s="15"/>
    </row>
    <row r="37" spans="2:9" ht="23.4" customHeight="1" x14ac:dyDescent="0.3">
      <c r="B37" s="9"/>
      <c r="C37" s="3"/>
      <c r="D37" s="26"/>
      <c r="E37" s="26"/>
      <c r="F37" s="26"/>
      <c r="G37" s="27"/>
      <c r="H37" s="27"/>
      <c r="I37" s="27"/>
    </row>
    <row r="38" spans="2:9" ht="23.4" customHeight="1" x14ac:dyDescent="0.3">
      <c r="B38" s="7"/>
      <c r="C38" s="2"/>
      <c r="D38" s="28"/>
      <c r="E38" s="28"/>
      <c r="F38" s="28"/>
      <c r="G38" s="29"/>
      <c r="H38" s="29"/>
      <c r="I38" s="29"/>
    </row>
    <row r="39" spans="2:9" ht="27.9" customHeight="1" x14ac:dyDescent="0.3">
      <c r="B39" s="6"/>
    </row>
  </sheetData>
  <mergeCells count="12">
    <mergeCell ref="B31:L31"/>
    <mergeCell ref="B1:L1"/>
    <mergeCell ref="G3:I3"/>
    <mergeCell ref="J3:L3"/>
    <mergeCell ref="D2:K2"/>
    <mergeCell ref="B28:C28"/>
    <mergeCell ref="C17:L17"/>
    <mergeCell ref="N3:O3"/>
    <mergeCell ref="N17:O17"/>
    <mergeCell ref="B29:C29"/>
    <mergeCell ref="D3:F3"/>
    <mergeCell ref="B16:C16"/>
  </mergeCells>
  <printOptions horizontalCentered="1"/>
  <pageMargins left="0.39370078740157483" right="0.23622047244094491" top="0.35433070866141736" bottom="0.35433070866141736" header="0.31496062992125984" footer="0.31496062992125984"/>
  <pageSetup paperSize="9"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38"/>
  <sheetViews>
    <sheetView topLeftCell="A13" zoomScaleNormal="100" zoomScaleSheetLayoutView="100" workbookViewId="0">
      <selection activeCell="I27" sqref="I27"/>
    </sheetView>
  </sheetViews>
  <sheetFormatPr defaultColWidth="8.88671875" defaultRowHeight="15.6" x14ac:dyDescent="0.3"/>
  <cols>
    <col min="1" max="1" width="8.88671875" style="4"/>
    <col min="2" max="2" width="6.88671875" style="4" customWidth="1"/>
    <col min="3" max="3" width="31.5546875" style="4" customWidth="1"/>
    <col min="4" max="9" width="11.33203125" style="4" customWidth="1"/>
    <col min="10" max="10" width="10.88671875" style="4" customWidth="1"/>
    <col min="11" max="12" width="11.33203125" style="4" customWidth="1"/>
    <col min="13" max="16384" width="8.88671875" style="4"/>
  </cols>
  <sheetData>
    <row r="1" spans="2:16" ht="24" customHeight="1" x14ac:dyDescent="0.3">
      <c r="B1" s="278" t="s">
        <v>51</v>
      </c>
      <c r="C1" s="279"/>
      <c r="D1" s="279"/>
      <c r="E1" s="279"/>
      <c r="F1" s="279"/>
      <c r="G1" s="279"/>
      <c r="H1" s="279"/>
      <c r="I1" s="279"/>
      <c r="J1" s="279"/>
      <c r="K1" s="279"/>
      <c r="L1" s="280"/>
    </row>
    <row r="2" spans="2:16" ht="19.2" customHeight="1" x14ac:dyDescent="0.3">
      <c r="B2" s="178" t="s">
        <v>0</v>
      </c>
      <c r="C2" s="179"/>
      <c r="D2" s="285" t="s">
        <v>64</v>
      </c>
      <c r="E2" s="286"/>
      <c r="F2" s="286"/>
      <c r="G2" s="286"/>
      <c r="H2" s="286"/>
      <c r="I2" s="286"/>
      <c r="J2" s="286"/>
      <c r="K2" s="286"/>
      <c r="L2" s="287"/>
    </row>
    <row r="3" spans="2:16" ht="42" customHeight="1" x14ac:dyDescent="0.3">
      <c r="B3" s="180" t="s">
        <v>25</v>
      </c>
      <c r="C3" s="181" t="s">
        <v>4</v>
      </c>
      <c r="D3" s="281" t="s">
        <v>76</v>
      </c>
      <c r="E3" s="282"/>
      <c r="F3" s="283"/>
      <c r="G3" s="281" t="s">
        <v>65</v>
      </c>
      <c r="H3" s="282"/>
      <c r="I3" s="283"/>
      <c r="J3" s="281" t="s">
        <v>66</v>
      </c>
      <c r="K3" s="282"/>
      <c r="L3" s="284"/>
    </row>
    <row r="4" spans="2:16" ht="20.100000000000001" customHeight="1" thickBot="1" x14ac:dyDescent="0.35">
      <c r="B4" s="183" t="s">
        <v>2</v>
      </c>
      <c r="C4" s="182" t="s">
        <v>71</v>
      </c>
      <c r="D4" s="88">
        <v>2023</v>
      </c>
      <c r="E4" s="92">
        <v>2024</v>
      </c>
      <c r="F4" s="92">
        <v>2025</v>
      </c>
      <c r="G4" s="88">
        <v>2023</v>
      </c>
      <c r="H4" s="92">
        <v>2024</v>
      </c>
      <c r="I4" s="92">
        <v>2025</v>
      </c>
      <c r="J4" s="88">
        <v>2023</v>
      </c>
      <c r="K4" s="92">
        <v>2024</v>
      </c>
      <c r="L4" s="89">
        <v>2025</v>
      </c>
    </row>
    <row r="5" spans="2:16" ht="20.100000000000001" customHeight="1" x14ac:dyDescent="0.3">
      <c r="B5" s="142">
        <v>1</v>
      </c>
      <c r="C5" s="143" t="s">
        <v>9</v>
      </c>
      <c r="D5" s="66">
        <f>(EXP!G5/EXP!J5)*100</f>
        <v>31.164293942606786</v>
      </c>
      <c r="E5" s="66">
        <f>(EXP!H5/EXP!K5)*100</f>
        <v>29.994252014464283</v>
      </c>
      <c r="F5" s="66">
        <f>(EXP!I5/EXP!L5)*100</f>
        <v>30.37807401859634</v>
      </c>
      <c r="G5" s="66">
        <v>1.46</v>
      </c>
      <c r="H5" s="66">
        <v>1.52</v>
      </c>
      <c r="I5" s="66">
        <v>1.55</v>
      </c>
      <c r="J5" s="72">
        <v>22.34</v>
      </c>
      <c r="K5" s="144">
        <v>23.73</v>
      </c>
      <c r="L5" s="40">
        <v>23.75</v>
      </c>
      <c r="N5" s="200"/>
      <c r="O5" s="200"/>
      <c r="P5" s="200"/>
    </row>
    <row r="6" spans="2:16" s="5" customFormat="1" ht="20.100000000000001" customHeight="1" x14ac:dyDescent="0.3">
      <c r="B6" s="46">
        <v>2</v>
      </c>
      <c r="C6" s="141" t="s">
        <v>10</v>
      </c>
      <c r="D6" s="30">
        <f>(EXP!G6/EXP!J6)*100</f>
        <v>36.668037267595487</v>
      </c>
      <c r="E6" s="30">
        <f>(EXP!H6/EXP!K6)*100</f>
        <v>32.760585080788914</v>
      </c>
      <c r="F6" s="30">
        <f>(EXP!I6/EXP!L6)*100</f>
        <v>31.97604191073269</v>
      </c>
      <c r="G6" s="30">
        <v>1.97</v>
      </c>
      <c r="H6" s="30">
        <v>1.84</v>
      </c>
      <c r="I6" s="30">
        <v>1.88</v>
      </c>
      <c r="J6" s="25">
        <v>26.26</v>
      </c>
      <c r="K6" s="126">
        <v>29.37</v>
      </c>
      <c r="L6" s="39">
        <v>32.71</v>
      </c>
      <c r="N6" s="200"/>
      <c r="O6" s="200"/>
      <c r="P6" s="200"/>
    </row>
    <row r="7" spans="2:16" ht="20.100000000000001" customHeight="1" x14ac:dyDescent="0.3">
      <c r="B7" s="43">
        <v>3</v>
      </c>
      <c r="C7" s="97" t="s">
        <v>72</v>
      </c>
      <c r="D7" s="30">
        <f>(EXP!G7/EXP!J7)*100</f>
        <v>48.866919442095927</v>
      </c>
      <c r="E7" s="30">
        <f>(EXP!H7/EXP!K7)*100</f>
        <v>46.882217935437112</v>
      </c>
      <c r="F7" s="30">
        <f>(EXP!I7/EXP!L7)*100</f>
        <v>42.033528652950565</v>
      </c>
      <c r="G7" s="30">
        <v>2.06</v>
      </c>
      <c r="H7" s="30">
        <v>1.79</v>
      </c>
      <c r="I7" s="30">
        <v>1.49</v>
      </c>
      <c r="J7" s="25">
        <v>27.1</v>
      </c>
      <c r="K7" s="96">
        <v>24.47</v>
      </c>
      <c r="L7" s="41">
        <v>22.46</v>
      </c>
      <c r="N7" s="200"/>
      <c r="O7" s="200"/>
      <c r="P7" s="200"/>
    </row>
    <row r="8" spans="2:16" ht="20.100000000000001" customHeight="1" x14ac:dyDescent="0.3">
      <c r="B8" s="45">
        <v>4</v>
      </c>
      <c r="C8" s="128" t="s">
        <v>11</v>
      </c>
      <c r="D8" s="30">
        <f>(EXP!G8/EXP!J8)*100</f>
        <v>41.765194855997265</v>
      </c>
      <c r="E8" s="30">
        <f>(EXP!H8/EXP!K8)*100</f>
        <v>41.986685163800388</v>
      </c>
      <c r="F8" s="30">
        <f>(EXP!I8/EXP!L8)*100</f>
        <v>39.985509117777873</v>
      </c>
      <c r="G8" s="30">
        <v>0.34</v>
      </c>
      <c r="H8" s="30">
        <v>0.38</v>
      </c>
      <c r="I8" s="30">
        <v>0.41</v>
      </c>
      <c r="J8" s="25">
        <v>12.32</v>
      </c>
      <c r="K8" s="96">
        <v>12.71</v>
      </c>
      <c r="L8" s="41">
        <v>16.12</v>
      </c>
      <c r="N8" s="200"/>
      <c r="O8" s="200"/>
      <c r="P8" s="200"/>
    </row>
    <row r="9" spans="2:16" ht="20.100000000000001" customHeight="1" x14ac:dyDescent="0.3">
      <c r="B9" s="43">
        <v>5</v>
      </c>
      <c r="C9" s="129" t="s">
        <v>12</v>
      </c>
      <c r="D9" s="30">
        <f>(EXP!G9/EXP!J9)*100</f>
        <v>33.249809613340737</v>
      </c>
      <c r="E9" s="30">
        <f>(EXP!H9/EXP!K9)*100</f>
        <v>30.847830468744164</v>
      </c>
      <c r="F9" s="30">
        <f>(EXP!I9/EXP!L9)*100</f>
        <v>29.785995395042754</v>
      </c>
      <c r="G9" s="30">
        <v>1.28</v>
      </c>
      <c r="H9" s="30">
        <v>1.32</v>
      </c>
      <c r="I9" s="30">
        <v>1.23</v>
      </c>
      <c r="J9" s="25">
        <v>14.81</v>
      </c>
      <c r="K9" s="96">
        <v>16.13</v>
      </c>
      <c r="L9" s="73">
        <v>16.399999999999999</v>
      </c>
      <c r="N9" s="200"/>
      <c r="O9" s="200"/>
      <c r="P9" s="200"/>
    </row>
    <row r="10" spans="2:16" ht="20.100000000000001" customHeight="1" x14ac:dyDescent="0.3">
      <c r="B10" s="43">
        <v>6</v>
      </c>
      <c r="C10" s="97" t="s">
        <v>13</v>
      </c>
      <c r="D10" s="30">
        <f>(EXP!G10/EXP!J10)*100</f>
        <v>44.146494245422808</v>
      </c>
      <c r="E10" s="30">
        <f>(EXP!H10/EXP!K10)*100</f>
        <v>38.441773717161304</v>
      </c>
      <c r="F10" s="30">
        <f>(EXP!I10/EXP!L10)*100</f>
        <v>37.241782464292626</v>
      </c>
      <c r="G10" s="30">
        <v>0.89</v>
      </c>
      <c r="H10" s="30">
        <v>1.22</v>
      </c>
      <c r="I10" s="30">
        <v>1.32</v>
      </c>
      <c r="J10" s="25">
        <v>15.39</v>
      </c>
      <c r="K10" s="96">
        <v>15.33</v>
      </c>
      <c r="L10" s="41">
        <v>16.29</v>
      </c>
      <c r="N10" s="200"/>
      <c r="O10" s="200"/>
      <c r="P10" s="200"/>
    </row>
    <row r="11" spans="2:16" ht="20.100000000000001" customHeight="1" x14ac:dyDescent="0.3">
      <c r="B11" s="45">
        <v>7</v>
      </c>
      <c r="C11" s="97" t="s">
        <v>14</v>
      </c>
      <c r="D11" s="30">
        <f>(EXP!G11/EXP!J11)*100</f>
        <v>32.799129997435294</v>
      </c>
      <c r="E11" s="30">
        <f>(EXP!H11/EXP!K11)*100</f>
        <v>32.925862376594928</v>
      </c>
      <c r="F11" s="30">
        <f>(EXP!I11/EXP!L11)*100</f>
        <v>32.554800806047247</v>
      </c>
      <c r="G11" s="30">
        <v>1.21</v>
      </c>
      <c r="H11" s="30">
        <v>1.19</v>
      </c>
      <c r="I11" s="30">
        <v>1.05</v>
      </c>
      <c r="J11" s="25">
        <v>17.45</v>
      </c>
      <c r="K11" s="25">
        <v>18</v>
      </c>
      <c r="L11" s="41">
        <v>19.850000000000001</v>
      </c>
      <c r="N11" s="200"/>
      <c r="O11" s="200"/>
      <c r="P11" s="200"/>
    </row>
    <row r="12" spans="2:16" ht="20.100000000000001" customHeight="1" x14ac:dyDescent="0.3">
      <c r="B12" s="43">
        <v>8</v>
      </c>
      <c r="C12" s="97" t="s">
        <v>15</v>
      </c>
      <c r="D12" s="30">
        <f>(EXP!G12/EXP!J12)*100</f>
        <v>39.078408369713642</v>
      </c>
      <c r="E12" s="30">
        <f>(EXP!H12/EXP!K12)*100</f>
        <v>37.516936826525665</v>
      </c>
      <c r="F12" s="30">
        <f>(EXP!I12/EXP!L12)*100</f>
        <v>34.684144921316509</v>
      </c>
      <c r="G12" s="30">
        <v>1.27</v>
      </c>
      <c r="H12" s="30">
        <v>1.63</v>
      </c>
      <c r="I12" s="30">
        <v>1.72</v>
      </c>
      <c r="J12" s="25">
        <v>18.559999999999999</v>
      </c>
      <c r="K12" s="96">
        <v>16.670000000000002</v>
      </c>
      <c r="L12" s="41">
        <v>18.170000000000002</v>
      </c>
      <c r="N12" s="200"/>
      <c r="O12" s="200"/>
      <c r="P12" s="200"/>
    </row>
    <row r="13" spans="2:16" s="5" customFormat="1" ht="20.100000000000001" customHeight="1" x14ac:dyDescent="0.3">
      <c r="B13" s="46">
        <v>9</v>
      </c>
      <c r="C13" s="141" t="s">
        <v>16</v>
      </c>
      <c r="D13" s="30">
        <f>(EXP!G13/EXP!J13)*100</f>
        <v>41.26633815947185</v>
      </c>
      <c r="E13" s="30">
        <f>(EXP!H13/EXP!K13)*100</f>
        <v>42.553210872473791</v>
      </c>
      <c r="F13" s="30">
        <f>(EXP!I13/EXP!L13)*100</f>
        <v>39.714390460270231</v>
      </c>
      <c r="G13" s="30">
        <v>0.54</v>
      </c>
      <c r="H13" s="30">
        <v>0.52</v>
      </c>
      <c r="I13" s="30">
        <v>0.61</v>
      </c>
      <c r="J13" s="25">
        <v>16.239999999999998</v>
      </c>
      <c r="K13" s="126">
        <v>15.22</v>
      </c>
      <c r="L13" s="39">
        <v>16.760000000000002</v>
      </c>
      <c r="N13" s="200"/>
      <c r="O13" s="200"/>
      <c r="P13" s="200"/>
    </row>
    <row r="14" spans="2:16" ht="20.100000000000001" customHeight="1" x14ac:dyDescent="0.3">
      <c r="B14" s="43">
        <v>10</v>
      </c>
      <c r="C14" s="97" t="s">
        <v>26</v>
      </c>
      <c r="D14" s="30">
        <f>(EXP!G14/EXP!J14)*100</f>
        <v>53.044995965297538</v>
      </c>
      <c r="E14" s="30">
        <f>(EXP!H14/EXP!K14)*100</f>
        <v>48.805539703573309</v>
      </c>
      <c r="F14" s="30">
        <f>(EXP!I14/EXP!L14)*100</f>
        <v>46.716803366890652</v>
      </c>
      <c r="G14" s="61">
        <v>0.83</v>
      </c>
      <c r="H14" s="61">
        <v>0.96</v>
      </c>
      <c r="I14" s="61">
        <v>0.51</v>
      </c>
      <c r="J14" s="25">
        <v>16.920000000000002</v>
      </c>
      <c r="K14" s="96">
        <v>16.18</v>
      </c>
      <c r="L14" s="41">
        <v>15.54</v>
      </c>
      <c r="N14" s="200"/>
      <c r="O14" s="200"/>
      <c r="P14" s="200"/>
    </row>
    <row r="15" spans="2:16" ht="20.100000000000001" customHeight="1" thickBot="1" x14ac:dyDescent="0.35">
      <c r="B15" s="44">
        <v>11</v>
      </c>
      <c r="C15" s="132" t="s">
        <v>17</v>
      </c>
      <c r="D15" s="49">
        <f>(EXP!G15/EXP!J15)*100</f>
        <v>35.442182280897086</v>
      </c>
      <c r="E15" s="49">
        <f>(EXP!H15/EXP!K15)*100</f>
        <v>36.073432478073762</v>
      </c>
      <c r="F15" s="49">
        <f>(EXP!I15/EXP!L15)*100</f>
        <v>33.818298338889718</v>
      </c>
      <c r="G15" s="49">
        <v>0.73</v>
      </c>
      <c r="H15" s="49">
        <v>0.93</v>
      </c>
      <c r="I15" s="49">
        <v>1.06</v>
      </c>
      <c r="J15" s="71">
        <v>17.25</v>
      </c>
      <c r="K15" s="136">
        <v>19.91</v>
      </c>
      <c r="L15" s="52">
        <v>19.309999999999999</v>
      </c>
      <c r="N15" s="200"/>
      <c r="O15" s="200"/>
      <c r="P15" s="200"/>
    </row>
    <row r="16" spans="2:16" ht="20.100000000000001" customHeight="1" thickBot="1" x14ac:dyDescent="0.35">
      <c r="B16" s="218" t="s">
        <v>63</v>
      </c>
      <c r="C16" s="219"/>
      <c r="D16" s="50">
        <f>(EXP!G16/EXP!J16)*100</f>
        <v>39.438031907435125</v>
      </c>
      <c r="E16" s="50">
        <f>(EXP!H16/EXP!K16)*100</f>
        <v>36.885706367326101</v>
      </c>
      <c r="F16" s="50">
        <f>(EXP!I16/EXP!L16)*100</f>
        <v>35.339042678421819</v>
      </c>
      <c r="G16" s="62"/>
      <c r="H16" s="62"/>
      <c r="I16" s="62"/>
      <c r="J16" s="48"/>
      <c r="K16" s="48"/>
      <c r="L16" s="38"/>
      <c r="N16" s="200"/>
      <c r="O16" s="200"/>
      <c r="P16" s="200"/>
    </row>
    <row r="17" spans="2:16" ht="20.100000000000001" customHeight="1" thickBot="1" x14ac:dyDescent="0.35">
      <c r="B17" s="68" t="s">
        <v>3</v>
      </c>
      <c r="C17" s="228" t="s">
        <v>18</v>
      </c>
      <c r="D17" s="229"/>
      <c r="E17" s="229"/>
      <c r="F17" s="229"/>
      <c r="G17" s="229"/>
      <c r="H17" s="229"/>
      <c r="I17" s="229"/>
      <c r="J17" s="229"/>
      <c r="K17" s="229"/>
      <c r="L17" s="230"/>
      <c r="N17" s="200"/>
      <c r="O17" s="200"/>
      <c r="P17" s="200"/>
    </row>
    <row r="18" spans="2:16" ht="20.100000000000001" customHeight="1" x14ac:dyDescent="0.3">
      <c r="B18" s="42">
        <v>12</v>
      </c>
      <c r="C18" s="130" t="s">
        <v>19</v>
      </c>
      <c r="D18" s="66">
        <f>(EXP!G18/EXP!J18)*100</f>
        <v>39.04316673905209</v>
      </c>
      <c r="E18" s="66">
        <f>(EXP!H18/EXP!K18)*100</f>
        <v>37.188970067093386</v>
      </c>
      <c r="F18" s="66">
        <f>(EXP!I18/EXP!L18)*100</f>
        <v>35.434417561812111</v>
      </c>
      <c r="G18" s="66">
        <v>0.8</v>
      </c>
      <c r="H18" s="66">
        <v>1.83</v>
      </c>
      <c r="I18" s="66">
        <v>1.74</v>
      </c>
      <c r="J18" s="72">
        <v>17.64</v>
      </c>
      <c r="K18" s="144">
        <v>16.63</v>
      </c>
      <c r="L18" s="40">
        <v>17.07</v>
      </c>
      <c r="N18" s="200"/>
      <c r="O18" s="200"/>
      <c r="P18" s="200"/>
    </row>
    <row r="19" spans="2:16" ht="20.100000000000001" customHeight="1" x14ac:dyDescent="0.3">
      <c r="B19" s="43">
        <v>13</v>
      </c>
      <c r="C19" s="97" t="s">
        <v>33</v>
      </c>
      <c r="D19" s="30">
        <f>(EXP!G19/EXP!J19)*100</f>
        <v>35.04301674370182</v>
      </c>
      <c r="E19" s="30">
        <f>(EXP!H19/EXP!K19)*100</f>
        <v>30.928187552294524</v>
      </c>
      <c r="F19" s="30">
        <f>(EXP!I19/EXP!L19)*100</f>
        <v>29.431606862760951</v>
      </c>
      <c r="G19" s="30">
        <v>0.97</v>
      </c>
      <c r="H19" s="30">
        <v>0.93</v>
      </c>
      <c r="I19" s="30">
        <v>0.89</v>
      </c>
      <c r="J19" s="25">
        <v>17.55</v>
      </c>
      <c r="K19" s="96">
        <v>16.59</v>
      </c>
      <c r="L19" s="41">
        <v>16.77</v>
      </c>
      <c r="N19" s="200"/>
      <c r="O19" s="200"/>
      <c r="P19" s="200"/>
    </row>
    <row r="20" spans="2:16" ht="20.100000000000001" customHeight="1" x14ac:dyDescent="0.3">
      <c r="B20" s="43">
        <v>14</v>
      </c>
      <c r="C20" s="97" t="s">
        <v>20</v>
      </c>
      <c r="D20" s="30">
        <f>(EXP!G20/EXP!J20)*100</f>
        <v>38.932909243321234</v>
      </c>
      <c r="E20" s="30">
        <f>(EXP!H20/EXP!K20)*100</f>
        <v>29.731595305329961</v>
      </c>
      <c r="F20" s="30">
        <f>(EXP!I20/EXP!L20)*100</f>
        <v>27.710909730615786</v>
      </c>
      <c r="G20" s="30">
        <v>2.0699999999999998</v>
      </c>
      <c r="H20" s="30">
        <v>1.98</v>
      </c>
      <c r="I20" s="30">
        <v>1.91</v>
      </c>
      <c r="J20" s="25">
        <v>19.260000000000002</v>
      </c>
      <c r="K20" s="25">
        <v>18.8</v>
      </c>
      <c r="L20" s="41">
        <v>19.55</v>
      </c>
      <c r="N20" s="200"/>
      <c r="O20" s="200"/>
      <c r="P20" s="200"/>
    </row>
    <row r="21" spans="2:16" ht="20.100000000000001" customHeight="1" x14ac:dyDescent="0.3">
      <c r="B21" s="43">
        <v>15</v>
      </c>
      <c r="C21" s="97" t="s">
        <v>21</v>
      </c>
      <c r="D21" s="30">
        <f>(EXP!G21/EXP!J21)*100</f>
        <v>41.103891443405885</v>
      </c>
      <c r="E21" s="30">
        <f>(EXP!H21/EXP!K21)*100</f>
        <v>36.328884833029221</v>
      </c>
      <c r="F21" s="30">
        <f>(EXP!I21/EXP!L21)*100</f>
        <v>34.041740907126972</v>
      </c>
      <c r="G21" s="30">
        <v>2.16</v>
      </c>
      <c r="H21" s="30">
        <v>2.37</v>
      </c>
      <c r="I21" s="30">
        <v>2.41</v>
      </c>
      <c r="J21" s="25">
        <v>18.34</v>
      </c>
      <c r="K21" s="96">
        <v>16.329999999999998</v>
      </c>
      <c r="L21" s="41">
        <v>16.55</v>
      </c>
      <c r="N21" s="200"/>
      <c r="O21" s="200"/>
      <c r="P21" s="200"/>
    </row>
    <row r="22" spans="2:16" ht="20.100000000000001" customHeight="1" x14ac:dyDescent="0.3">
      <c r="B22" s="43">
        <v>16</v>
      </c>
      <c r="C22" s="97" t="s">
        <v>22</v>
      </c>
      <c r="D22" s="30">
        <f>(EXP!G22/EXP!J22)*100</f>
        <v>37.803351022598534</v>
      </c>
      <c r="E22" s="30">
        <f>(EXP!H22/EXP!K22)*100</f>
        <v>36.20561994060786</v>
      </c>
      <c r="F22" s="30">
        <f>(EXP!I22/EXP!L22)*100</f>
        <v>35.160150523989756</v>
      </c>
      <c r="G22" s="30">
        <v>1.81</v>
      </c>
      <c r="H22" s="30">
        <v>1.9</v>
      </c>
      <c r="I22" s="30">
        <v>0.5</v>
      </c>
      <c r="J22" s="25">
        <v>17.86</v>
      </c>
      <c r="K22" s="96">
        <v>17.23</v>
      </c>
      <c r="L22" s="41">
        <v>16.239999999999998</v>
      </c>
      <c r="N22" s="200"/>
      <c r="O22" s="200"/>
      <c r="P22" s="200"/>
    </row>
    <row r="23" spans="2:16" ht="20.100000000000001" customHeight="1" x14ac:dyDescent="0.3">
      <c r="B23" s="43">
        <v>17</v>
      </c>
      <c r="C23" s="97" t="s">
        <v>23</v>
      </c>
      <c r="D23" s="30">
        <f>(EXP!G23/EXP!J23)*100</f>
        <v>52.054034747518685</v>
      </c>
      <c r="E23" s="30">
        <f>(EXP!H23/EXP!K23)*100</f>
        <v>45.714817446064856</v>
      </c>
      <c r="F23" s="30">
        <f>(EXP!I23/EXP!L23)*100</f>
        <v>43.279450470960597</v>
      </c>
      <c r="G23" s="30">
        <v>2.4700000000000002</v>
      </c>
      <c r="H23" s="30">
        <v>2.61</v>
      </c>
      <c r="I23" s="30">
        <v>2.65</v>
      </c>
      <c r="J23" s="25">
        <v>21.8</v>
      </c>
      <c r="K23" s="96">
        <v>20.55</v>
      </c>
      <c r="L23" s="41">
        <v>22.25</v>
      </c>
      <c r="N23" s="200"/>
      <c r="O23" s="200"/>
      <c r="P23" s="200"/>
    </row>
    <row r="24" spans="2:16" ht="20.100000000000001" customHeight="1" x14ac:dyDescent="0.3">
      <c r="B24" s="43">
        <v>18</v>
      </c>
      <c r="C24" s="97" t="s">
        <v>24</v>
      </c>
      <c r="D24" s="30">
        <f>(EXP!G24/EXP!J24)*100</f>
        <v>36.292965478477548</v>
      </c>
      <c r="E24" s="30">
        <f>(EXP!H24/EXP!K24)*100</f>
        <v>33.50844886978841</v>
      </c>
      <c r="F24" s="30">
        <f>(EXP!I24/EXP!L24)*100</f>
        <v>32.455284692942485</v>
      </c>
      <c r="G24" s="30">
        <v>0.2</v>
      </c>
      <c r="H24" s="30">
        <v>0.3</v>
      </c>
      <c r="I24" s="30">
        <v>0.6</v>
      </c>
      <c r="J24" s="25">
        <v>17.899999999999999</v>
      </c>
      <c r="K24" s="25">
        <v>15.4</v>
      </c>
      <c r="L24" s="73">
        <v>15.6</v>
      </c>
      <c r="N24" s="200"/>
      <c r="O24" s="200"/>
      <c r="P24" s="200"/>
    </row>
    <row r="25" spans="2:16" ht="20.100000000000001" customHeight="1" x14ac:dyDescent="0.3">
      <c r="B25" s="43">
        <v>19</v>
      </c>
      <c r="C25" s="97" t="s">
        <v>29</v>
      </c>
      <c r="D25" s="30">
        <f>(EXP!G25/EXP!J25)*100</f>
        <v>41.099632251627142</v>
      </c>
      <c r="E25" s="30">
        <f>(EXP!H25/EXP!K25)*100</f>
        <v>40.626012737959051</v>
      </c>
      <c r="F25" s="30">
        <f>(EXP!I25/EXP!L25)*100</f>
        <v>40.3311568853021</v>
      </c>
      <c r="G25" s="30">
        <v>1.56</v>
      </c>
      <c r="H25" s="30">
        <v>1.44</v>
      </c>
      <c r="I25" s="30">
        <v>1.53</v>
      </c>
      <c r="J25" s="25">
        <v>19.760000000000002</v>
      </c>
      <c r="K25" s="96">
        <v>14.69</v>
      </c>
      <c r="L25" s="41">
        <v>18.71</v>
      </c>
      <c r="N25" s="200"/>
      <c r="O25" s="200"/>
      <c r="P25" s="200"/>
    </row>
    <row r="26" spans="2:16" ht="20.100000000000001" customHeight="1" x14ac:dyDescent="0.3">
      <c r="B26" s="43">
        <v>20</v>
      </c>
      <c r="C26" s="96" t="s">
        <v>49</v>
      </c>
      <c r="D26" s="30">
        <f>(EXP!G26/EXP!J26)*100</f>
        <v>54.667342839278156</v>
      </c>
      <c r="E26" s="30">
        <f>(EXP!H26/EXP!K26)*100</f>
        <v>53.895351329936361</v>
      </c>
      <c r="F26" s="30">
        <f>(EXP!I26/EXP!L26)*100</f>
        <v>52.339223476010389</v>
      </c>
      <c r="G26" s="30">
        <v>1.1299999999999999</v>
      </c>
      <c r="H26" s="30">
        <v>1.1000000000000001</v>
      </c>
      <c r="I26" s="30">
        <v>0.48</v>
      </c>
      <c r="J26" s="25">
        <v>16.82</v>
      </c>
      <c r="K26" s="96">
        <v>16.11</v>
      </c>
      <c r="L26" s="41">
        <v>15.48</v>
      </c>
      <c r="N26" s="200"/>
      <c r="O26" s="200"/>
      <c r="P26" s="200"/>
    </row>
    <row r="27" spans="2:16" ht="20.100000000000001" customHeight="1" thickBot="1" x14ac:dyDescent="0.35">
      <c r="B27" s="44">
        <v>21</v>
      </c>
      <c r="C27" s="131" t="s">
        <v>44</v>
      </c>
      <c r="D27" s="49">
        <f>(EXP!G27/EXP!J27)*100</f>
        <v>43.605638814370906</v>
      </c>
      <c r="E27" s="49">
        <f>(EXP!H27/EXP!K27)*100</f>
        <v>40.13352727880158</v>
      </c>
      <c r="F27" s="49">
        <f>(EXP!I27/EXP!L27)*100</f>
        <v>37.242834534904169</v>
      </c>
      <c r="G27" s="49">
        <v>1.2</v>
      </c>
      <c r="H27" s="49">
        <v>1.44</v>
      </c>
      <c r="I27" s="49">
        <v>2.11</v>
      </c>
      <c r="J27" s="71">
        <v>20.440000000000001</v>
      </c>
      <c r="K27" s="136">
        <v>22.26</v>
      </c>
      <c r="L27" s="52">
        <v>25.05</v>
      </c>
      <c r="N27" s="200"/>
      <c r="O27" s="200"/>
      <c r="P27" s="200"/>
    </row>
    <row r="28" spans="2:16" ht="20.100000000000001" customHeight="1" thickBot="1" x14ac:dyDescent="0.35">
      <c r="B28" s="218" t="s">
        <v>69</v>
      </c>
      <c r="C28" s="219"/>
      <c r="D28" s="50">
        <f>(EXP!G28/EXP!J28)*100</f>
        <v>41.078258313864509</v>
      </c>
      <c r="E28" s="50">
        <f>(EXP!H28/EXP!K28)*100</f>
        <v>35.602957089190973</v>
      </c>
      <c r="F28" s="50">
        <f>(EXP!I28/EXP!L28)*100</f>
        <v>33.755069055441197</v>
      </c>
      <c r="G28" s="56"/>
      <c r="H28" s="56"/>
      <c r="I28" s="56"/>
      <c r="J28" s="48"/>
      <c r="K28" s="48"/>
      <c r="L28" s="38"/>
      <c r="N28" s="200"/>
      <c r="O28" s="200"/>
      <c r="P28" s="200"/>
    </row>
    <row r="29" spans="2:16" ht="20.100000000000001" customHeight="1" thickBot="1" x14ac:dyDescent="0.35">
      <c r="B29" s="216" t="s">
        <v>70</v>
      </c>
      <c r="C29" s="217"/>
      <c r="D29" s="64">
        <f>(EXP!G29/EXP!J29)*100</f>
        <v>40.864752033651534</v>
      </c>
      <c r="E29" s="64">
        <f>(EXP!H29/EXP!K29)*100</f>
        <v>35.752896031409229</v>
      </c>
      <c r="F29" s="64">
        <f>(EXP!I29/EXP!L29)*100</f>
        <v>33.939924859333871</v>
      </c>
      <c r="G29" s="146"/>
      <c r="H29" s="146"/>
      <c r="I29" s="146"/>
      <c r="J29" s="147"/>
      <c r="K29" s="147"/>
      <c r="L29" s="139"/>
      <c r="N29" s="200"/>
      <c r="O29" s="200"/>
      <c r="P29" s="200"/>
    </row>
    <row r="30" spans="2:16" x14ac:dyDescent="0.3">
      <c r="B30" s="7"/>
      <c r="C30" s="6"/>
      <c r="D30" s="23"/>
      <c r="E30" s="23"/>
      <c r="F30" s="23"/>
      <c r="G30" s="31"/>
      <c r="H30" s="31"/>
      <c r="I30" s="31"/>
    </row>
    <row r="31" spans="2:16" x14ac:dyDescent="0.3">
      <c r="B31" s="277" t="s">
        <v>84</v>
      </c>
      <c r="C31" s="277"/>
      <c r="D31" s="277"/>
      <c r="E31" s="277"/>
      <c r="F31" s="277"/>
      <c r="G31" s="277"/>
      <c r="H31" s="277"/>
      <c r="I31" s="277"/>
      <c r="J31" s="277"/>
      <c r="K31" s="277"/>
      <c r="L31" s="277"/>
    </row>
    <row r="32" spans="2:16" x14ac:dyDescent="0.3">
      <c r="B32" s="7"/>
      <c r="C32" s="6"/>
      <c r="D32" s="23"/>
      <c r="E32" s="23"/>
      <c r="F32" s="23"/>
      <c r="G32" s="15"/>
      <c r="H32" s="15"/>
      <c r="I32" s="15"/>
    </row>
    <row r="33" spans="2:9" ht="20.25" customHeight="1" x14ac:dyDescent="0.3">
      <c r="B33" s="7"/>
      <c r="C33" s="2"/>
      <c r="G33" s="34"/>
      <c r="H33" s="34"/>
      <c r="I33" s="34"/>
    </row>
    <row r="34" spans="2:9" ht="23.4" customHeight="1" x14ac:dyDescent="0.3">
      <c r="B34" s="7"/>
      <c r="C34" s="2"/>
      <c r="D34" s="32"/>
      <c r="E34" s="32"/>
      <c r="F34" s="32"/>
    </row>
    <row r="35" spans="2:9" ht="20.100000000000001" customHeight="1" x14ac:dyDescent="0.3">
      <c r="B35" s="7"/>
      <c r="C35" s="2"/>
    </row>
    <row r="36" spans="2:9" ht="17.25" customHeight="1" x14ac:dyDescent="0.3">
      <c r="B36" s="9"/>
      <c r="C36" s="3"/>
      <c r="D36" s="23"/>
      <c r="E36" s="23"/>
      <c r="F36" s="23"/>
    </row>
    <row r="37" spans="2:9" ht="24" customHeight="1" x14ac:dyDescent="0.3">
      <c r="B37" s="7"/>
      <c r="C37" s="2"/>
      <c r="D37" s="32"/>
      <c r="E37" s="32"/>
      <c r="F37" s="32"/>
    </row>
    <row r="38" spans="2:9" ht="28.2" customHeight="1" x14ac:dyDescent="0.3">
      <c r="B38" s="6"/>
    </row>
  </sheetData>
  <mergeCells count="10">
    <mergeCell ref="B31:L31"/>
    <mergeCell ref="B1:L1"/>
    <mergeCell ref="B28:C28"/>
    <mergeCell ref="B29:C29"/>
    <mergeCell ref="D3:F3"/>
    <mergeCell ref="B16:C16"/>
    <mergeCell ref="G3:I3"/>
    <mergeCell ref="J3:L3"/>
    <mergeCell ref="D2:L2"/>
    <mergeCell ref="C17:L17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9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38"/>
  <sheetViews>
    <sheetView topLeftCell="A4" zoomScaleNormal="100" zoomScaleSheetLayoutView="100" workbookViewId="0">
      <selection activeCell="M4" sqref="M1:P1048576"/>
    </sheetView>
  </sheetViews>
  <sheetFormatPr defaultColWidth="8.88671875" defaultRowHeight="15.6" x14ac:dyDescent="0.3"/>
  <cols>
    <col min="1" max="1" width="8.88671875" style="4"/>
    <col min="2" max="2" width="5.88671875" style="4" customWidth="1"/>
    <col min="3" max="3" width="35" style="4" customWidth="1"/>
    <col min="4" max="4" width="10.88671875" style="4" customWidth="1"/>
    <col min="5" max="5" width="10.33203125" style="4" customWidth="1"/>
    <col min="6" max="9" width="10.6640625" style="4" customWidth="1"/>
    <col min="10" max="10" width="10.88671875" style="4" customWidth="1"/>
    <col min="11" max="11" width="10.44140625" style="4" customWidth="1"/>
    <col min="12" max="12" width="11" style="4" customWidth="1"/>
    <col min="13" max="16384" width="8.88671875" style="4"/>
  </cols>
  <sheetData>
    <row r="1" spans="2:13" ht="21" customHeight="1" x14ac:dyDescent="0.3">
      <c r="B1" s="251" t="s">
        <v>56</v>
      </c>
      <c r="C1" s="252"/>
      <c r="D1" s="252"/>
      <c r="E1" s="252"/>
      <c r="F1" s="252"/>
      <c r="G1" s="252"/>
      <c r="H1" s="252"/>
      <c r="I1" s="252"/>
      <c r="J1" s="252"/>
      <c r="K1" s="252"/>
      <c r="L1" s="253"/>
    </row>
    <row r="2" spans="2:13" ht="20.100000000000001" customHeight="1" x14ac:dyDescent="0.3">
      <c r="B2" s="184" t="s">
        <v>0</v>
      </c>
      <c r="C2" s="185"/>
      <c r="D2" s="293" t="s">
        <v>64</v>
      </c>
      <c r="E2" s="293"/>
      <c r="F2" s="293"/>
      <c r="G2" s="294" t="s">
        <v>1</v>
      </c>
      <c r="H2" s="294"/>
      <c r="I2" s="294"/>
      <c r="J2" s="294" t="s">
        <v>73</v>
      </c>
      <c r="K2" s="294"/>
      <c r="L2" s="295"/>
    </row>
    <row r="3" spans="2:13" ht="37.950000000000003" customHeight="1" x14ac:dyDescent="0.3">
      <c r="B3" s="186" t="s">
        <v>25</v>
      </c>
      <c r="C3" s="187" t="s">
        <v>4</v>
      </c>
      <c r="D3" s="289" t="s">
        <v>42</v>
      </c>
      <c r="E3" s="290"/>
      <c r="F3" s="291"/>
      <c r="G3" s="289" t="s">
        <v>67</v>
      </c>
      <c r="H3" s="290"/>
      <c r="I3" s="291"/>
      <c r="J3" s="289" t="s">
        <v>32</v>
      </c>
      <c r="K3" s="290"/>
      <c r="L3" s="292"/>
    </row>
    <row r="4" spans="2:13" ht="20.100000000000001" customHeight="1" thickBot="1" x14ac:dyDescent="0.35">
      <c r="B4" s="58" t="s">
        <v>2</v>
      </c>
      <c r="C4" s="150" t="s">
        <v>71</v>
      </c>
      <c r="D4" s="88">
        <v>2023</v>
      </c>
      <c r="E4" s="92">
        <v>2024</v>
      </c>
      <c r="F4" s="92">
        <v>2025</v>
      </c>
      <c r="G4" s="88">
        <v>2023</v>
      </c>
      <c r="H4" s="92">
        <v>2024</v>
      </c>
      <c r="I4" s="92">
        <v>2025</v>
      </c>
      <c r="J4" s="88">
        <v>2023</v>
      </c>
      <c r="K4" s="92">
        <v>2024</v>
      </c>
      <c r="L4" s="89">
        <v>2025</v>
      </c>
    </row>
    <row r="5" spans="2:13" ht="20.100000000000001" customHeight="1" x14ac:dyDescent="0.3">
      <c r="B5" s="47">
        <v>1</v>
      </c>
      <c r="C5" s="104" t="s">
        <v>9</v>
      </c>
      <c r="D5" s="103">
        <f>(Assets!J5/DEPO!J5)*100</f>
        <v>2.3636493707572983</v>
      </c>
      <c r="E5" s="103">
        <f>(Assets!K5/DEPO!K5)*100</f>
        <v>1.9739984776517203</v>
      </c>
      <c r="F5" s="103">
        <v>1.25</v>
      </c>
      <c r="G5" s="94">
        <v>15.98</v>
      </c>
      <c r="H5" s="94">
        <v>14.21</v>
      </c>
      <c r="I5" s="94">
        <v>15.32</v>
      </c>
      <c r="J5" s="57">
        <v>15.58</v>
      </c>
      <c r="K5" s="104">
        <v>14.13</v>
      </c>
      <c r="L5" s="67">
        <v>14.77</v>
      </c>
    </row>
    <row r="6" spans="2:13" ht="20.100000000000001" customHeight="1" x14ac:dyDescent="0.3">
      <c r="B6" s="45">
        <v>2</v>
      </c>
      <c r="C6" s="96" t="s">
        <v>10</v>
      </c>
      <c r="D6" s="93">
        <f>(Assets!J6/DEPO!J6)*100</f>
        <v>0.61678734245105926</v>
      </c>
      <c r="E6" s="93">
        <f>(Assets!K6/DEPO!K6)*100</f>
        <v>0.8451757007581715</v>
      </c>
      <c r="F6" s="93">
        <v>0.36</v>
      </c>
      <c r="G6" s="95">
        <v>19.100000000000001</v>
      </c>
      <c r="H6" s="95">
        <v>19.440000000000001</v>
      </c>
      <c r="I6" s="95">
        <v>20.67</v>
      </c>
      <c r="J6" s="96">
        <v>23.04</v>
      </c>
      <c r="K6" s="96">
        <v>23.29</v>
      </c>
      <c r="L6" s="41">
        <v>24.93</v>
      </c>
    </row>
    <row r="7" spans="2:13" ht="20.100000000000001" customHeight="1" x14ac:dyDescent="0.3">
      <c r="B7" s="43">
        <v>3</v>
      </c>
      <c r="C7" s="97" t="s">
        <v>72</v>
      </c>
      <c r="D7" s="93">
        <f>(Assets!J7/DEPO!J7)*100</f>
        <v>0.34778566292102181</v>
      </c>
      <c r="E7" s="93">
        <f>(Assets!K7/DEPO!K7)*100</f>
        <v>0.51324028439018099</v>
      </c>
      <c r="F7" s="93">
        <v>0.52</v>
      </c>
      <c r="G7" s="30">
        <v>6.47</v>
      </c>
      <c r="H7" s="30">
        <v>6.56</v>
      </c>
      <c r="I7" s="30">
        <v>8.3800000000000008</v>
      </c>
      <c r="J7" s="97">
        <v>8.01</v>
      </c>
      <c r="K7" s="96">
        <v>7.21</v>
      </c>
      <c r="L7" s="73">
        <v>7.8</v>
      </c>
    </row>
    <row r="8" spans="2:13" ht="20.100000000000001" customHeight="1" x14ac:dyDescent="0.3">
      <c r="B8" s="45">
        <v>4</v>
      </c>
      <c r="C8" s="148" t="s">
        <v>11</v>
      </c>
      <c r="D8" s="93">
        <f>(Assets!J8/DEPO!J8)*100</f>
        <v>1.1553697183098592</v>
      </c>
      <c r="E8" s="93">
        <v>1.25</v>
      </c>
      <c r="F8" s="93">
        <v>0.99</v>
      </c>
      <c r="G8" s="95">
        <v>13.13</v>
      </c>
      <c r="H8" s="95">
        <v>14.64</v>
      </c>
      <c r="I8" s="95">
        <v>16.07</v>
      </c>
      <c r="J8" s="96">
        <v>2.79</v>
      </c>
      <c r="K8" s="96">
        <v>3.43</v>
      </c>
      <c r="L8" s="73">
        <v>3.8</v>
      </c>
    </row>
    <row r="9" spans="2:13" ht="20.100000000000001" customHeight="1" x14ac:dyDescent="0.3">
      <c r="B9" s="43">
        <v>5</v>
      </c>
      <c r="C9" s="149" t="s">
        <v>12</v>
      </c>
      <c r="D9" s="93">
        <f>(Assets!J9/DEPO!J9)*100</f>
        <v>0.6907604194468826</v>
      </c>
      <c r="E9" s="93">
        <f>(Assets!K9/DEPO!K9)*100</f>
        <v>0.59947948296715248</v>
      </c>
      <c r="F9" s="93">
        <v>0.44</v>
      </c>
      <c r="G9" s="95">
        <v>29.55</v>
      </c>
      <c r="H9" s="95">
        <v>32.229999999999997</v>
      </c>
      <c r="I9" s="95">
        <v>32.409999999999997</v>
      </c>
      <c r="J9" s="97">
        <v>22.94</v>
      </c>
      <c r="K9" s="96">
        <v>25.96</v>
      </c>
      <c r="L9" s="41">
        <v>26.12</v>
      </c>
    </row>
    <row r="10" spans="2:13" ht="20.100000000000001" customHeight="1" x14ac:dyDescent="0.3">
      <c r="B10" s="43">
        <v>6</v>
      </c>
      <c r="C10" s="96" t="s">
        <v>53</v>
      </c>
      <c r="D10" s="93">
        <f>(Assets!J10/DEPO!J10)*100</f>
        <v>1.6214774300924404</v>
      </c>
      <c r="E10" s="93">
        <f>(Assets!K10/DEPO!K10)*100</f>
        <v>0.78586846704509095</v>
      </c>
      <c r="F10" s="93">
        <f>(Assets!L10/DEPO!L10)*100</f>
        <v>0.7851056135814336</v>
      </c>
      <c r="G10" s="95">
        <v>15.57</v>
      </c>
      <c r="H10" s="95">
        <v>17.809999999999999</v>
      </c>
      <c r="I10" s="95">
        <v>20.18</v>
      </c>
      <c r="J10" s="96">
        <v>9.06</v>
      </c>
      <c r="K10" s="96">
        <v>13.75</v>
      </c>
      <c r="L10" s="41">
        <v>16.649999999999999</v>
      </c>
    </row>
    <row r="11" spans="2:13" ht="20.100000000000001" customHeight="1" x14ac:dyDescent="0.3">
      <c r="B11" s="45">
        <v>7</v>
      </c>
      <c r="C11" s="96" t="s">
        <v>14</v>
      </c>
      <c r="D11" s="93">
        <f>(Assets!J11/DEPO!J11)*100</f>
        <v>1.7034902476363438</v>
      </c>
      <c r="E11" s="93">
        <v>1.58</v>
      </c>
      <c r="F11" s="93">
        <v>1.31</v>
      </c>
      <c r="G11" s="95">
        <v>17.03</v>
      </c>
      <c r="H11" s="95">
        <v>19.21</v>
      </c>
      <c r="I11" s="95">
        <v>20.89</v>
      </c>
      <c r="J11" s="96">
        <v>13.64</v>
      </c>
      <c r="K11" s="96">
        <v>14.67</v>
      </c>
      <c r="L11" s="41">
        <v>14.54</v>
      </c>
    </row>
    <row r="12" spans="2:13" ht="20.100000000000001" customHeight="1" x14ac:dyDescent="0.3">
      <c r="B12" s="43">
        <v>8</v>
      </c>
      <c r="C12" s="96" t="s">
        <v>15</v>
      </c>
      <c r="D12" s="93">
        <f>(Assets!J12/DEPO!J12)*100</f>
        <v>0.74151639667539626</v>
      </c>
      <c r="E12" s="93">
        <f>(Assets!K12/DEPO!K12)*100</f>
        <v>0.4044796971472352</v>
      </c>
      <c r="F12" s="93">
        <v>0.2</v>
      </c>
      <c r="G12" s="95">
        <v>18.11</v>
      </c>
      <c r="H12" s="95">
        <v>18</v>
      </c>
      <c r="I12" s="95">
        <v>18.91</v>
      </c>
      <c r="J12" s="96">
        <v>14.25</v>
      </c>
      <c r="K12" s="96">
        <v>17.66</v>
      </c>
      <c r="L12" s="41">
        <v>19.68</v>
      </c>
    </row>
    <row r="13" spans="2:13" ht="20.100000000000001" customHeight="1" x14ac:dyDescent="0.3">
      <c r="B13" s="45">
        <v>9</v>
      </c>
      <c r="C13" s="96" t="s">
        <v>16</v>
      </c>
      <c r="D13" s="93">
        <v>1.84</v>
      </c>
      <c r="E13" s="93">
        <v>0.94</v>
      </c>
      <c r="F13" s="93">
        <v>0.56000000000000005</v>
      </c>
      <c r="G13" s="95">
        <v>10.99</v>
      </c>
      <c r="H13" s="95">
        <v>10.79</v>
      </c>
      <c r="I13" s="95">
        <v>10.81</v>
      </c>
      <c r="J13" s="96">
        <v>4.26</v>
      </c>
      <c r="K13" s="25">
        <v>4</v>
      </c>
      <c r="L13" s="73">
        <v>4</v>
      </c>
      <c r="M13" s="13"/>
    </row>
    <row r="14" spans="2:13" ht="20.100000000000001" customHeight="1" x14ac:dyDescent="0.3">
      <c r="B14" s="43">
        <v>10</v>
      </c>
      <c r="C14" s="96" t="s">
        <v>26</v>
      </c>
      <c r="D14" s="93">
        <f>(Assets!J14/DEPO!J14)*100</f>
        <v>1.1003377755241999</v>
      </c>
      <c r="E14" s="93">
        <f>(Assets!K14/DEPO!K14)*100</f>
        <v>0.73737672485191741</v>
      </c>
      <c r="F14" s="93">
        <v>0.28999999999999998</v>
      </c>
      <c r="G14" s="95">
        <v>13.11</v>
      </c>
      <c r="H14" s="95">
        <v>14.03</v>
      </c>
      <c r="I14" s="95">
        <v>13.38</v>
      </c>
      <c r="J14" s="25">
        <v>8</v>
      </c>
      <c r="K14" s="25">
        <v>9</v>
      </c>
      <c r="L14" s="73">
        <v>5</v>
      </c>
    </row>
    <row r="15" spans="2:13" ht="20.100000000000001" customHeight="1" thickBot="1" x14ac:dyDescent="0.35">
      <c r="B15" s="44">
        <v>11</v>
      </c>
      <c r="C15" s="136" t="s">
        <v>17</v>
      </c>
      <c r="D15" s="105">
        <f>(Assets!J15/DEPO!J15)*100</f>
        <v>1.8531915734873023</v>
      </c>
      <c r="E15" s="105">
        <f>(Assets!K15/DEPO!K15)*100</f>
        <v>1.45345958559146</v>
      </c>
      <c r="F15" s="105">
        <f>(Assets!L15/DEPO!L15)*100</f>
        <v>0.92262010009795514</v>
      </c>
      <c r="G15" s="98">
        <v>16.28</v>
      </c>
      <c r="H15" s="98">
        <v>17.649999999999999</v>
      </c>
      <c r="I15" s="98">
        <v>20.36</v>
      </c>
      <c r="J15" s="136">
        <v>8.18</v>
      </c>
      <c r="K15" s="136">
        <v>11.09</v>
      </c>
      <c r="L15" s="52">
        <v>14.15</v>
      </c>
    </row>
    <row r="16" spans="2:13" ht="20.100000000000001" customHeight="1" thickBot="1" x14ac:dyDescent="0.35">
      <c r="B16" s="218" t="s">
        <v>63</v>
      </c>
      <c r="C16" s="219"/>
      <c r="D16" s="101">
        <f>(Assets!J16/DEPO!J16)*100</f>
        <v>1.1978989516119734</v>
      </c>
      <c r="E16" s="101">
        <f>(Assets!K16/DEPO!K16)*100</f>
        <v>0.91218556913784699</v>
      </c>
      <c r="F16" s="101">
        <f>(Assets!L16/DEPO!L16)*100</f>
        <v>0.63393421946333539</v>
      </c>
      <c r="G16" s="102"/>
      <c r="H16" s="102"/>
      <c r="I16" s="102"/>
      <c r="J16" s="102"/>
      <c r="K16" s="203"/>
      <c r="L16" s="204"/>
    </row>
    <row r="17" spans="2:12" ht="20.100000000000001" customHeight="1" thickBot="1" x14ac:dyDescent="0.35">
      <c r="B17" s="153" t="s">
        <v>3</v>
      </c>
      <c r="C17" s="228" t="s">
        <v>18</v>
      </c>
      <c r="D17" s="229"/>
      <c r="E17" s="229"/>
      <c r="F17" s="229"/>
      <c r="G17" s="229"/>
      <c r="H17" s="229"/>
      <c r="I17" s="229"/>
      <c r="J17" s="229"/>
      <c r="K17" s="229"/>
      <c r="L17" s="230"/>
    </row>
    <row r="18" spans="2:12" ht="20.100000000000001" customHeight="1" x14ac:dyDescent="0.3">
      <c r="B18" s="42">
        <v>12</v>
      </c>
      <c r="C18" s="144" t="s">
        <v>19</v>
      </c>
      <c r="D18" s="154">
        <v>0.39</v>
      </c>
      <c r="E18" s="154">
        <v>0.31</v>
      </c>
      <c r="F18" s="154">
        <v>0.33</v>
      </c>
      <c r="G18" s="66">
        <v>20</v>
      </c>
      <c r="H18" s="66">
        <v>20.190000000000001</v>
      </c>
      <c r="I18" s="66">
        <v>20.88</v>
      </c>
      <c r="J18" s="144">
        <v>10.94</v>
      </c>
      <c r="K18" s="144">
        <v>25.29</v>
      </c>
      <c r="L18" s="40">
        <v>25.45</v>
      </c>
    </row>
    <row r="19" spans="2:12" ht="20.100000000000001" customHeight="1" x14ac:dyDescent="0.3">
      <c r="B19" s="43">
        <v>13</v>
      </c>
      <c r="C19" s="96" t="s">
        <v>33</v>
      </c>
      <c r="D19" s="93">
        <f>(Assets!J19/DEPO!J19)*100</f>
        <v>1.0382209107907259</v>
      </c>
      <c r="E19" s="93">
        <f>(Assets!K19/DEPO!K19)*100</f>
        <v>1.1101646541832093</v>
      </c>
      <c r="F19" s="93">
        <f>(Assets!L19/DEPO!L19)*100</f>
        <v>1.1196564101529356</v>
      </c>
      <c r="G19" s="30">
        <v>7.8</v>
      </c>
      <c r="H19" s="30">
        <v>8.3699999999999992</v>
      </c>
      <c r="I19" s="30">
        <v>8.9700000000000006</v>
      </c>
      <c r="J19" s="25">
        <v>5.08</v>
      </c>
      <c r="K19" s="96">
        <v>5.25</v>
      </c>
      <c r="L19" s="41">
        <v>5.31</v>
      </c>
    </row>
    <row r="20" spans="2:12" ht="20.100000000000001" customHeight="1" x14ac:dyDescent="0.3">
      <c r="B20" s="43">
        <v>14</v>
      </c>
      <c r="C20" s="96" t="s">
        <v>20</v>
      </c>
      <c r="D20" s="93">
        <f>(Assets!J20/DEPO!J20)*100</f>
        <v>0.27292693256887995</v>
      </c>
      <c r="E20" s="93">
        <f>(Assets!K20/DEPO!K20)*100</f>
        <v>0.325641486854366</v>
      </c>
      <c r="F20" s="93">
        <v>0.43</v>
      </c>
      <c r="G20" s="30">
        <v>19.739999999999998</v>
      </c>
      <c r="H20" s="30">
        <v>21.49</v>
      </c>
      <c r="I20" s="30">
        <v>23.62</v>
      </c>
      <c r="J20" s="96">
        <v>27.73</v>
      </c>
      <c r="K20" s="25">
        <v>31.2</v>
      </c>
      <c r="L20" s="73">
        <v>32</v>
      </c>
    </row>
    <row r="21" spans="2:12" ht="20.100000000000001" customHeight="1" x14ac:dyDescent="0.3">
      <c r="B21" s="43">
        <v>15</v>
      </c>
      <c r="C21" s="96" t="s">
        <v>21</v>
      </c>
      <c r="D21" s="93">
        <v>0.48</v>
      </c>
      <c r="E21" s="93">
        <v>0.42</v>
      </c>
      <c r="F21" s="93">
        <v>0.39</v>
      </c>
      <c r="G21" s="30">
        <v>17.07</v>
      </c>
      <c r="H21" s="30">
        <v>16.84</v>
      </c>
      <c r="I21" s="30">
        <v>20.059999999999999</v>
      </c>
      <c r="J21" s="25">
        <v>27.52</v>
      </c>
      <c r="K21" s="96">
        <v>29.42</v>
      </c>
      <c r="L21" s="73">
        <v>35</v>
      </c>
    </row>
    <row r="22" spans="2:12" ht="20.100000000000001" customHeight="1" x14ac:dyDescent="0.3">
      <c r="B22" s="43">
        <v>16</v>
      </c>
      <c r="C22" s="96" t="s">
        <v>52</v>
      </c>
      <c r="D22" s="93">
        <f>(Assets!J22/DEPO!J22)*100</f>
        <v>0.5915211893005774</v>
      </c>
      <c r="E22" s="93">
        <f>(Assets!K22/DEPO!K22)*100</f>
        <v>0.57352459131238842</v>
      </c>
      <c r="F22" s="93">
        <v>0.95</v>
      </c>
      <c r="G22" s="30">
        <v>16.95</v>
      </c>
      <c r="H22" s="30">
        <v>16.98</v>
      </c>
      <c r="I22" s="30">
        <v>16.61</v>
      </c>
      <c r="J22" s="25">
        <v>20.6</v>
      </c>
      <c r="K22" s="25">
        <v>21.355</v>
      </c>
      <c r="L22" s="73">
        <v>6</v>
      </c>
    </row>
    <row r="23" spans="2:12" ht="20.100000000000001" customHeight="1" x14ac:dyDescent="0.3">
      <c r="B23" s="43">
        <v>17</v>
      </c>
      <c r="C23" s="96" t="s">
        <v>23</v>
      </c>
      <c r="D23" s="93">
        <f>(Assets!J23/DEPO!J23)*100</f>
        <v>0.37306805661117831</v>
      </c>
      <c r="E23" s="93">
        <f>(Assets!K23/DEPO!K23)*100</f>
        <v>0.33784992030983579</v>
      </c>
      <c r="F23" s="93">
        <f>(Assets!L23/DEPO!L23)*100</f>
        <v>0.3146898684778871</v>
      </c>
      <c r="G23" s="30">
        <v>8.73</v>
      </c>
      <c r="H23" s="30">
        <v>9.6300000000000008</v>
      </c>
      <c r="I23" s="30">
        <v>10.89</v>
      </c>
      <c r="J23" s="25">
        <v>15</v>
      </c>
      <c r="K23" s="25">
        <v>18</v>
      </c>
      <c r="L23" s="73">
        <v>21</v>
      </c>
    </row>
    <row r="24" spans="2:12" ht="20.100000000000001" customHeight="1" x14ac:dyDescent="0.3">
      <c r="B24" s="43">
        <v>18</v>
      </c>
      <c r="C24" s="97" t="s">
        <v>24</v>
      </c>
      <c r="D24" s="93">
        <f>(Assets!J24/DEPO!J24)*100</f>
        <v>0.81571041864433735</v>
      </c>
      <c r="E24" s="93">
        <f>(Assets!K24/DEPO!K24)*100</f>
        <v>0.58372831157157656</v>
      </c>
      <c r="F24" s="93">
        <f>(Assets!L24/DEPO!L24)*100</f>
        <v>0.32501115913348827</v>
      </c>
      <c r="G24" s="30">
        <v>15.67</v>
      </c>
      <c r="H24" s="30">
        <v>17.420000000000002</v>
      </c>
      <c r="I24" s="30">
        <v>18.399999999999999</v>
      </c>
      <c r="J24" s="25">
        <v>2.8</v>
      </c>
      <c r="K24" s="25">
        <v>4.51</v>
      </c>
      <c r="L24" s="41">
        <v>8.49</v>
      </c>
    </row>
    <row r="25" spans="2:12" ht="20.100000000000001" customHeight="1" x14ac:dyDescent="0.3">
      <c r="B25" s="43">
        <v>19</v>
      </c>
      <c r="C25" s="96" t="s">
        <v>29</v>
      </c>
      <c r="D25" s="93">
        <f>(Assets!J25/DEPO!J25)*100</f>
        <v>1.1724970249893827</v>
      </c>
      <c r="E25" s="93">
        <f>(Assets!K25/DEPO!K25)*100</f>
        <v>1.1124696946921564</v>
      </c>
      <c r="F25" s="93">
        <v>1.28</v>
      </c>
      <c r="G25" s="30">
        <v>3.02</v>
      </c>
      <c r="H25" s="30">
        <v>3.19</v>
      </c>
      <c r="I25" s="30">
        <v>3.35</v>
      </c>
      <c r="J25" s="96">
        <v>3.36</v>
      </c>
      <c r="K25" s="25">
        <v>3</v>
      </c>
      <c r="L25" s="41">
        <v>3.53</v>
      </c>
    </row>
    <row r="26" spans="2:12" ht="20.100000000000001" customHeight="1" x14ac:dyDescent="0.3">
      <c r="B26" s="43">
        <v>20</v>
      </c>
      <c r="C26" s="96" t="s">
        <v>49</v>
      </c>
      <c r="D26" s="93">
        <f>(Assets!J26/DEPO!J26)*100</f>
        <v>0.85908892764449407</v>
      </c>
      <c r="E26" s="93">
        <f>(Assets!K26/DEPO!K26)*100</f>
        <v>0.5963543174894268</v>
      </c>
      <c r="F26" s="93">
        <v>0.53</v>
      </c>
      <c r="G26" s="30">
        <v>8.11</v>
      </c>
      <c r="H26" s="30">
        <v>8.67</v>
      </c>
      <c r="I26" s="30">
        <v>10.31</v>
      </c>
      <c r="J26" s="96">
        <v>7.75</v>
      </c>
      <c r="K26" s="96">
        <v>7.56</v>
      </c>
      <c r="L26" s="41">
        <v>3.66</v>
      </c>
    </row>
    <row r="27" spans="2:12" ht="20.100000000000001" customHeight="1" thickBot="1" x14ac:dyDescent="0.35">
      <c r="B27" s="69">
        <v>21</v>
      </c>
      <c r="C27" s="134" t="s">
        <v>44</v>
      </c>
      <c r="D27" s="155">
        <f>(Assets!J27/DEPO!J27)*100</f>
        <v>0.91961676032609674</v>
      </c>
      <c r="E27" s="155">
        <v>0.34</v>
      </c>
      <c r="F27" s="155">
        <v>0.15</v>
      </c>
      <c r="G27" s="156">
        <v>22.31</v>
      </c>
      <c r="H27" s="156">
        <v>23.5</v>
      </c>
      <c r="I27" s="156">
        <v>25.65</v>
      </c>
      <c r="J27" s="157">
        <v>20.420000000000002</v>
      </c>
      <c r="K27" s="99">
        <v>29.63</v>
      </c>
      <c r="L27" s="100">
        <v>38.090000000000003</v>
      </c>
    </row>
    <row r="28" spans="2:12" ht="20.100000000000001" customHeight="1" thickBot="1" x14ac:dyDescent="0.35">
      <c r="B28" s="218" t="s">
        <v>69</v>
      </c>
      <c r="C28" s="219"/>
      <c r="D28" s="101">
        <f>(Assets!J28/DEPO!J28)*100</f>
        <v>0.46560956848078144</v>
      </c>
      <c r="E28" s="101">
        <f>(Assets!K28/DEPO!K28)*100</f>
        <v>0.40629148231305184</v>
      </c>
      <c r="F28" s="101">
        <f>(Assets!L28/DEPO!L28)*100</f>
        <v>0.44865530418329791</v>
      </c>
      <c r="G28" s="50"/>
      <c r="H28" s="50"/>
      <c r="I28" s="50"/>
      <c r="J28" s="50"/>
      <c r="K28" s="53"/>
      <c r="L28" s="188"/>
    </row>
    <row r="29" spans="2:12" ht="20.100000000000001" customHeight="1" thickBot="1" x14ac:dyDescent="0.35">
      <c r="B29" s="216" t="s">
        <v>70</v>
      </c>
      <c r="C29" s="217"/>
      <c r="D29" s="151">
        <f>(Assets!J29/DEPO!J29)*100</f>
        <v>0.55220079059087535</v>
      </c>
      <c r="E29" s="151">
        <f>(Assets!K29/DEPO!K29)*100</f>
        <v>0.46045429947442607</v>
      </c>
      <c r="F29" s="151">
        <f>(Assets!L29/DEPO!L29)*100</f>
        <v>0.46902644749022987</v>
      </c>
      <c r="G29" s="152"/>
      <c r="H29" s="64"/>
      <c r="I29" s="64"/>
      <c r="J29" s="64"/>
      <c r="K29" s="65"/>
      <c r="L29" s="192"/>
    </row>
    <row r="30" spans="2:12" x14ac:dyDescent="0.3">
      <c r="B30" s="7"/>
      <c r="C30" s="6"/>
      <c r="D30" s="26"/>
      <c r="E30" s="26"/>
      <c r="F30" s="26"/>
    </row>
    <row r="31" spans="2:12" x14ac:dyDescent="0.3">
      <c r="B31" s="288" t="s">
        <v>85</v>
      </c>
      <c r="C31" s="288"/>
      <c r="D31" s="288"/>
      <c r="E31" s="288"/>
      <c r="F31" s="288"/>
      <c r="G31" s="288"/>
      <c r="H31" s="288"/>
      <c r="I31" s="288"/>
      <c r="J31" s="288"/>
      <c r="K31" s="288"/>
      <c r="L31" s="288"/>
    </row>
    <row r="32" spans="2:12" x14ac:dyDescent="0.3">
      <c r="B32" s="7"/>
      <c r="C32" s="6"/>
    </row>
    <row r="33" spans="2:9" ht="21.75" customHeight="1" x14ac:dyDescent="0.3">
      <c r="B33" s="7"/>
      <c r="C33" s="2"/>
      <c r="D33" s="36"/>
      <c r="E33" s="36"/>
      <c r="F33" s="36"/>
      <c r="G33" s="10"/>
      <c r="H33" s="10"/>
      <c r="I33" s="10"/>
    </row>
    <row r="34" spans="2:9" ht="23.4" customHeight="1" x14ac:dyDescent="0.3">
      <c r="B34" s="7"/>
      <c r="C34" s="2"/>
      <c r="D34" s="36"/>
      <c r="E34" s="36"/>
      <c r="F34" s="36"/>
      <c r="G34" s="10"/>
      <c r="H34" s="10"/>
      <c r="I34" s="10"/>
    </row>
    <row r="35" spans="2:9" ht="23.4" customHeight="1" x14ac:dyDescent="0.3">
      <c r="B35" s="7"/>
      <c r="C35" s="2"/>
    </row>
    <row r="36" spans="2:9" ht="19.5" customHeight="1" x14ac:dyDescent="0.3">
      <c r="B36" s="9"/>
      <c r="C36" s="3"/>
      <c r="D36" s="35"/>
      <c r="E36" s="35"/>
      <c r="F36" s="35"/>
      <c r="G36" s="15"/>
      <c r="H36" s="15"/>
      <c r="I36" s="15"/>
    </row>
    <row r="37" spans="2:9" ht="25.5" customHeight="1" x14ac:dyDescent="0.3">
      <c r="B37" s="7"/>
      <c r="C37" s="2"/>
      <c r="D37" s="36"/>
      <c r="E37" s="36"/>
      <c r="F37" s="36"/>
      <c r="G37" s="33"/>
      <c r="H37" s="33"/>
      <c r="I37" s="33"/>
    </row>
    <row r="38" spans="2:9" ht="28.2" customHeight="1" x14ac:dyDescent="0.3">
      <c r="B38" s="6"/>
    </row>
  </sheetData>
  <mergeCells count="12">
    <mergeCell ref="B31:L31"/>
    <mergeCell ref="B1:L1"/>
    <mergeCell ref="B28:C28"/>
    <mergeCell ref="B29:C29"/>
    <mergeCell ref="B16:C16"/>
    <mergeCell ref="G3:I3"/>
    <mergeCell ref="J3:L3"/>
    <mergeCell ref="D3:F3"/>
    <mergeCell ref="D2:F2"/>
    <mergeCell ref="J2:L2"/>
    <mergeCell ref="G2:I2"/>
    <mergeCell ref="C17:L17"/>
  </mergeCells>
  <printOptions horizontalCentered="1"/>
  <pageMargins left="0.19685039370078741" right="0.23622047244094491" top="0.35433070866141736" bottom="0.35433070866141736" header="0.31496062992125984" footer="0.31496062992125984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DEPO</vt:lpstr>
      <vt:lpstr>Assets</vt:lpstr>
      <vt:lpstr>INCOME</vt:lpstr>
      <vt:lpstr>EXP</vt:lpstr>
      <vt:lpstr>Profit</vt:lpstr>
      <vt:lpstr>CDRatio</vt:lpstr>
      <vt:lpstr>CRAR</vt:lpstr>
      <vt:lpstr>NetNPAtoNetADV</vt:lpstr>
      <vt:lpstr>Assets!Print_Area</vt:lpstr>
      <vt:lpstr>CDRatio!Print_Area</vt:lpstr>
      <vt:lpstr>CRAR!Print_Area</vt:lpstr>
      <vt:lpstr>DEPO!Print_Area</vt:lpstr>
      <vt:lpstr>EXP!Print_Area</vt:lpstr>
      <vt:lpstr>INCOME!Print_Area</vt:lpstr>
      <vt:lpstr>NetNPAtoNetADV!Print_Area</vt:lpstr>
      <vt:lpstr>Profit!Print_Area</vt:lpstr>
    </vt:vector>
  </TitlesOfParts>
  <Company>Wipro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Economics</dc:creator>
  <cp:lastModifiedBy>IBA WTC</cp:lastModifiedBy>
  <cp:lastPrinted>2025-05-29T08:41:50Z</cp:lastPrinted>
  <dcterms:created xsi:type="dcterms:W3CDTF">2012-04-25T08:23:48Z</dcterms:created>
  <dcterms:modified xsi:type="dcterms:W3CDTF">2025-06-21T05:48:27Z</dcterms:modified>
</cp:coreProperties>
</file>