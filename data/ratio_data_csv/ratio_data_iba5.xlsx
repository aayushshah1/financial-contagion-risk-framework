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defaultThemeVersion="124226"/>
  <xr:revisionPtr revIDLastSave="0" documentId="13_ncr:1_{7923FDAC-2946-4E17-9BD2-39128036638D}" xr6:coauthVersionLast="47" xr6:coauthVersionMax="47" xr10:uidLastSave="{00000000-0000-0000-0000-000000000000}"/>
  <bookViews>
    <workbookView xWindow="-120" yWindow="-120" windowWidth="29040" windowHeight="15720" tabRatio="568" activeTab="7" xr2:uid="{00000000-000D-0000-FFFF-FFFF00000000}"/>
  </bookViews>
  <sheets>
    <sheet name="DEPO" sheetId="1" r:id="rId1"/>
    <sheet name="Assets" sheetId="2" r:id="rId2"/>
    <sheet name="Income" sheetId="3" r:id="rId3"/>
    <sheet name="Exps." sheetId="4" r:id="rId4"/>
    <sheet name="Profit" sheetId="5" r:id="rId5"/>
    <sheet name="CDRatio" sheetId="6" r:id="rId6"/>
    <sheet name="CRAR" sheetId="7" r:id="rId7"/>
    <sheet name="NetNPAtoNetAdv" sheetId="8" r:id="rId8"/>
  </sheets>
  <definedNames>
    <definedName name="_xlnm._FilterDatabase" localSheetId="1" hidden="1">Assets!$B$5:$P$18</definedName>
    <definedName name="_xlnm._FilterDatabase" localSheetId="5" hidden="1">CDRatio!$A$19:$T$19</definedName>
    <definedName name="_xlnm._FilterDatabase" localSheetId="6" hidden="1">CRAR!$B$5:$J$18</definedName>
    <definedName name="_xlnm._FilterDatabase" localSheetId="0" hidden="1">DEPO!$A$5:$K$18</definedName>
    <definedName name="_xlnm._FilterDatabase" localSheetId="3" hidden="1">Exps.!$B$5:$R$18</definedName>
    <definedName name="_xlnm._FilterDatabase" localSheetId="2" hidden="1">Income!$B$5:$R$18</definedName>
    <definedName name="_xlnm._FilterDatabase" localSheetId="7" hidden="1">NetNPAtoNetAdv!$A$5:$Q$18</definedName>
    <definedName name="_xlnm._FilterDatabase" localSheetId="4" hidden="1">Profit!$B$5:$L$18</definedName>
    <definedName name="_xlnm.Print_Area" localSheetId="1">Assets!$A$2:$L$20</definedName>
    <definedName name="_xlnm.Print_Area" localSheetId="5">CDRatio!$A$2:$L$20</definedName>
    <definedName name="_xlnm.Print_Area" localSheetId="0">DEPO!$A$2:$L$22</definedName>
    <definedName name="_xlnm.Print_Area" localSheetId="3">Exps.!$A$2:$L$21</definedName>
    <definedName name="_xlnm.Print_Area" localSheetId="2">Income!$A$2:$L$20</definedName>
    <definedName name="_xlnm.Print_Area" localSheetId="7">NetNPAtoNetAdv!$A$2:$L$22</definedName>
    <definedName name="_xlnm.Print_Area" localSheetId="4">Profit!$A$2:$L$20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8" l="1"/>
  <c r="I18" i="4"/>
  <c r="F18" i="4"/>
  <c r="I18" i="3"/>
  <c r="F18" i="3"/>
  <c r="L18" i="2"/>
  <c r="I18" i="2"/>
  <c r="F18" i="2"/>
  <c r="L18" i="1"/>
  <c r="I18" i="1"/>
  <c r="F18" i="1"/>
  <c r="F18" i="6" l="1"/>
  <c r="K18" i="1"/>
  <c r="J18" i="1"/>
  <c r="H18" i="1"/>
  <c r="G18" i="1"/>
  <c r="E18" i="1"/>
  <c r="D18" i="1"/>
  <c r="K18" i="2"/>
  <c r="J18" i="2"/>
  <c r="H18" i="2"/>
  <c r="G18" i="2"/>
  <c r="E18" i="2"/>
  <c r="D18" i="2"/>
  <c r="H18" i="3"/>
  <c r="G18" i="3"/>
  <c r="E18" i="3"/>
  <c r="D18" i="3"/>
  <c r="H18" i="4"/>
  <c r="G18" i="4"/>
  <c r="E18" i="4"/>
  <c r="D18" i="4"/>
  <c r="K15" i="3"/>
  <c r="H15" i="5"/>
  <c r="I15" i="5"/>
  <c r="I14" i="5"/>
  <c r="L11" i="3"/>
  <c r="L11" i="4"/>
  <c r="F11" i="7" s="1"/>
  <c r="I13" i="5"/>
  <c r="H13" i="5"/>
  <c r="H11" i="5"/>
  <c r="I11" i="5"/>
  <c r="I9" i="5"/>
  <c r="I8" i="5"/>
  <c r="K7" i="4"/>
  <c r="H7" i="5"/>
  <c r="I7" i="5"/>
  <c r="H6" i="5"/>
  <c r="H18" i="5" s="1"/>
  <c r="I6" i="5"/>
  <c r="L17" i="4"/>
  <c r="F17" i="7" s="1"/>
  <c r="L16" i="4"/>
  <c r="F16" i="7" s="1"/>
  <c r="L15" i="4"/>
  <c r="L14" i="4"/>
  <c r="F14" i="7" s="1"/>
  <c r="L13" i="4"/>
  <c r="F13" i="7" s="1"/>
  <c r="L12" i="4"/>
  <c r="L9" i="4"/>
  <c r="F9" i="7" s="1"/>
  <c r="L8" i="4"/>
  <c r="L7" i="4"/>
  <c r="F7" i="7" s="1"/>
  <c r="L6" i="4"/>
  <c r="L17" i="3"/>
  <c r="L16" i="3"/>
  <c r="L15" i="3"/>
  <c r="L14" i="3"/>
  <c r="L13" i="3"/>
  <c r="L12" i="3"/>
  <c r="L9" i="3"/>
  <c r="L8" i="3"/>
  <c r="L7" i="3"/>
  <c r="L6" i="3"/>
  <c r="F17" i="8"/>
  <c r="F16" i="8"/>
  <c r="F15" i="8"/>
  <c r="F14" i="8"/>
  <c r="F13" i="8"/>
  <c r="F11" i="8"/>
  <c r="F9" i="8"/>
  <c r="F8" i="8"/>
  <c r="F7" i="8"/>
  <c r="F6" i="8"/>
  <c r="F15" i="7"/>
  <c r="F8" i="7"/>
  <c r="L17" i="6"/>
  <c r="L16" i="6"/>
  <c r="L15" i="6"/>
  <c r="L14" i="6"/>
  <c r="L13" i="6"/>
  <c r="L12" i="6"/>
  <c r="L11" i="6"/>
  <c r="L9" i="6"/>
  <c r="L8" i="6"/>
  <c r="L7" i="6"/>
  <c r="L6" i="6"/>
  <c r="K6" i="6"/>
  <c r="I17" i="6"/>
  <c r="I16" i="6"/>
  <c r="I15" i="6"/>
  <c r="I14" i="6"/>
  <c r="I13" i="6"/>
  <c r="I12" i="6"/>
  <c r="I11" i="6"/>
  <c r="I9" i="6"/>
  <c r="I8" i="6"/>
  <c r="I7" i="6"/>
  <c r="F17" i="6"/>
  <c r="F16" i="6"/>
  <c r="F15" i="6"/>
  <c r="F14" i="6"/>
  <c r="F13" i="6"/>
  <c r="F12" i="6"/>
  <c r="F11" i="6"/>
  <c r="F9" i="6"/>
  <c r="F8" i="6"/>
  <c r="F7" i="6"/>
  <c r="I6" i="6"/>
  <c r="F6" i="6"/>
  <c r="E6" i="6"/>
  <c r="J17" i="3"/>
  <c r="K16" i="3"/>
  <c r="K10" i="3"/>
  <c r="J12" i="3"/>
  <c r="J8" i="3"/>
  <c r="J6" i="3"/>
  <c r="K12" i="3"/>
  <c r="K10" i="4"/>
  <c r="K15" i="4"/>
  <c r="E15" i="7" s="1"/>
  <c r="E12" i="6"/>
  <c r="H14" i="5"/>
  <c r="H9" i="5"/>
  <c r="H8" i="5"/>
  <c r="K17" i="6"/>
  <c r="K16" i="6"/>
  <c r="K15" i="6"/>
  <c r="K14" i="6"/>
  <c r="K13" i="6"/>
  <c r="K12" i="6"/>
  <c r="K11" i="6"/>
  <c r="K10" i="6"/>
  <c r="K9" i="6"/>
  <c r="K8" i="6"/>
  <c r="K7" i="6"/>
  <c r="H17" i="6"/>
  <c r="H16" i="6"/>
  <c r="H15" i="6"/>
  <c r="H14" i="6"/>
  <c r="H13" i="6"/>
  <c r="H12" i="6"/>
  <c r="H11" i="6"/>
  <c r="H10" i="6"/>
  <c r="H9" i="6"/>
  <c r="H8" i="6"/>
  <c r="H7" i="6"/>
  <c r="E17" i="6"/>
  <c r="E16" i="6"/>
  <c r="E15" i="6"/>
  <c r="E14" i="6"/>
  <c r="E13" i="6"/>
  <c r="E11" i="6"/>
  <c r="E10" i="6"/>
  <c r="E9" i="6"/>
  <c r="E8" i="6"/>
  <c r="E7" i="6"/>
  <c r="K17" i="4"/>
  <c r="E17" i="7" s="1"/>
  <c r="K16" i="4"/>
  <c r="K14" i="4"/>
  <c r="E14" i="7" s="1"/>
  <c r="K13" i="4"/>
  <c r="E13" i="7" s="1"/>
  <c r="K12" i="4"/>
  <c r="E12" i="7" s="1"/>
  <c r="K11" i="4"/>
  <c r="E11" i="7" s="1"/>
  <c r="K9" i="4"/>
  <c r="E9" i="7" s="1"/>
  <c r="K8" i="4"/>
  <c r="E8" i="7" s="1"/>
  <c r="K6" i="4"/>
  <c r="E6" i="7" s="1"/>
  <c r="K17" i="3"/>
  <c r="K14" i="3"/>
  <c r="K13" i="3"/>
  <c r="K11" i="3"/>
  <c r="K9" i="3"/>
  <c r="K8" i="3"/>
  <c r="K7" i="3"/>
  <c r="K6" i="3"/>
  <c r="H6" i="6"/>
  <c r="F6" i="7" l="1"/>
  <c r="L18" i="4"/>
  <c r="F18" i="7" s="1"/>
  <c r="F16" i="5"/>
  <c r="L16" i="5" s="1"/>
  <c r="F17" i="5"/>
  <c r="L17" i="5" s="1"/>
  <c r="K18" i="3"/>
  <c r="L18" i="3"/>
  <c r="I18" i="5"/>
  <c r="F12" i="5"/>
  <c r="L12" i="5" s="1"/>
  <c r="F12" i="7"/>
  <c r="E7" i="7"/>
  <c r="K18" i="4"/>
  <c r="F6" i="5"/>
  <c r="E9" i="5"/>
  <c r="K9" i="5" s="1"/>
  <c r="F9" i="5"/>
  <c r="L9" i="5" s="1"/>
  <c r="F15" i="5"/>
  <c r="L15" i="5" s="1"/>
  <c r="F14" i="5"/>
  <c r="L14" i="5" s="1"/>
  <c r="F13" i="5"/>
  <c r="L13" i="5" s="1"/>
  <c r="F11" i="5"/>
  <c r="L11" i="5" s="1"/>
  <c r="F8" i="5"/>
  <c r="L8" i="5" s="1"/>
  <c r="F7" i="5"/>
  <c r="L7" i="5" s="1"/>
  <c r="F18" i="8"/>
  <c r="I18" i="6"/>
  <c r="L18" i="6"/>
  <c r="E10" i="5"/>
  <c r="K7" i="5"/>
  <c r="E6" i="5"/>
  <c r="E10" i="7"/>
  <c r="E16" i="7"/>
  <c r="E17" i="5"/>
  <c r="K17" i="5" s="1"/>
  <c r="H18" i="6"/>
  <c r="E18" i="8"/>
  <c r="K18" i="6"/>
  <c r="E18" i="6"/>
  <c r="E11" i="5"/>
  <c r="K11" i="5" s="1"/>
  <c r="E8" i="5"/>
  <c r="K8" i="5" s="1"/>
  <c r="E12" i="5"/>
  <c r="K12" i="5" s="1"/>
  <c r="E13" i="5"/>
  <c r="K13" i="5" s="1"/>
  <c r="E14" i="5"/>
  <c r="K14" i="5" s="1"/>
  <c r="E15" i="5"/>
  <c r="K15" i="5" s="1"/>
  <c r="J16" i="4"/>
  <c r="J16" i="3"/>
  <c r="J9" i="3"/>
  <c r="J9" i="4"/>
  <c r="F18" i="5" l="1"/>
  <c r="L6" i="5"/>
  <c r="L18" i="5" s="1"/>
  <c r="E18" i="5"/>
  <c r="E18" i="7"/>
  <c r="K10" i="5"/>
  <c r="K18" i="5" s="1"/>
  <c r="G17" i="5"/>
  <c r="J17" i="4"/>
  <c r="J15" i="6"/>
  <c r="G15" i="5"/>
  <c r="J15" i="4"/>
  <c r="D15" i="7" s="1"/>
  <c r="J15" i="3"/>
  <c r="G14" i="5"/>
  <c r="J14" i="4"/>
  <c r="D14" i="7" s="1"/>
  <c r="J14" i="3"/>
  <c r="G13" i="5"/>
  <c r="J13" i="4"/>
  <c r="D13" i="7" s="1"/>
  <c r="J13" i="3"/>
  <c r="J12" i="4"/>
  <c r="D12" i="7" s="1"/>
  <c r="J11" i="4"/>
  <c r="D11" i="7" s="1"/>
  <c r="J11" i="3"/>
  <c r="J10" i="4"/>
  <c r="J10" i="3"/>
  <c r="G8" i="5"/>
  <c r="J8" i="4"/>
  <c r="D8" i="7" s="1"/>
  <c r="J7" i="4"/>
  <c r="J7" i="3"/>
  <c r="D17" i="8"/>
  <c r="D16" i="8"/>
  <c r="D15" i="8"/>
  <c r="D14" i="8"/>
  <c r="D13" i="8"/>
  <c r="D11" i="8"/>
  <c r="D10" i="8"/>
  <c r="D8" i="8"/>
  <c r="D7" i="8"/>
  <c r="D6" i="8"/>
  <c r="D16" i="7"/>
  <c r="D9" i="7"/>
  <c r="J18" i="3" l="1"/>
  <c r="D10" i="7"/>
  <c r="D7" i="7"/>
  <c r="D7" i="5"/>
  <c r="J7" i="5" s="1"/>
  <c r="D18" i="8"/>
  <c r="D17" i="7"/>
  <c r="J18" i="6"/>
  <c r="J17" i="6"/>
  <c r="J16" i="6"/>
  <c r="J14" i="6"/>
  <c r="J13" i="6"/>
  <c r="J12" i="6"/>
  <c r="J11" i="6"/>
  <c r="J10" i="6"/>
  <c r="J9" i="6"/>
  <c r="J8" i="6"/>
  <c r="J7" i="6"/>
  <c r="J6" i="6"/>
  <c r="G6" i="6"/>
  <c r="G18" i="6"/>
  <c r="G17" i="6"/>
  <c r="G16" i="6"/>
  <c r="G15" i="6"/>
  <c r="G14" i="6"/>
  <c r="G13" i="6"/>
  <c r="G12" i="6"/>
  <c r="G11" i="6"/>
  <c r="G10" i="6"/>
  <c r="G9" i="6"/>
  <c r="G8" i="6"/>
  <c r="G7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G6" i="5"/>
  <c r="G18" i="5" s="1"/>
  <c r="D17" i="5"/>
  <c r="J17" i="5" s="1"/>
  <c r="J16" i="5"/>
  <c r="D15" i="5"/>
  <c r="J15" i="5" s="1"/>
  <c r="D14" i="5"/>
  <c r="J14" i="5" s="1"/>
  <c r="D13" i="5"/>
  <c r="J13" i="5" s="1"/>
  <c r="D12" i="5"/>
  <c r="J12" i="5" s="1"/>
  <c r="D11" i="5"/>
  <c r="J11" i="5" s="1"/>
  <c r="D10" i="5"/>
  <c r="D9" i="5"/>
  <c r="J9" i="5" s="1"/>
  <c r="D8" i="5"/>
  <c r="J8" i="5" s="1"/>
  <c r="J6" i="4"/>
  <c r="J18" i="4" s="1"/>
  <c r="J10" i="5" l="1"/>
  <c r="D6" i="7"/>
  <c r="D6" i="5"/>
  <c r="J6" i="5" s="1"/>
  <c r="D18" i="5" l="1"/>
  <c r="J18" i="5"/>
  <c r="D18" i="7"/>
</calcChain>
</file>

<file path=xl/sharedStrings.xml><?xml version="1.0" encoding="utf-8"?>
<sst xmlns="http://schemas.openxmlformats.org/spreadsheetml/2006/main" count="198" uniqueCount="63">
  <si>
    <t>As on March 31</t>
  </si>
  <si>
    <t>(₹ Crore)</t>
  </si>
  <si>
    <t>Banks</t>
  </si>
  <si>
    <t>Deposits</t>
  </si>
  <si>
    <t>Investments</t>
  </si>
  <si>
    <t xml:space="preserve">Advances </t>
  </si>
  <si>
    <t>Total Assets</t>
  </si>
  <si>
    <t>Gross NPA</t>
  </si>
  <si>
    <t>Net NPA</t>
  </si>
  <si>
    <t>Interest Income</t>
  </si>
  <si>
    <t>Other Income</t>
  </si>
  <si>
    <t>Total Income</t>
  </si>
  <si>
    <t>Interest Expended</t>
  </si>
  <si>
    <t>Operating Expenses</t>
  </si>
  <si>
    <t>Total Expenditure *</t>
  </si>
  <si>
    <t>Operating Profit</t>
  </si>
  <si>
    <t>Provisions &amp; Contingencies</t>
  </si>
  <si>
    <t>Net Profit</t>
  </si>
  <si>
    <t>Credit Deposit Ratio</t>
  </si>
  <si>
    <t>Investment Deposit Ratio</t>
  </si>
  <si>
    <t>Return on Assets [%]</t>
  </si>
  <si>
    <t>Net NPA as % to Net Advances</t>
  </si>
  <si>
    <t>Business Per Employee</t>
  </si>
  <si>
    <t>Sr. No.</t>
  </si>
  <si>
    <t>Capital Small Finance Bank Ltd.</t>
  </si>
  <si>
    <t>Equitas Small Finance Bank Ltd.</t>
  </si>
  <si>
    <t>ESAF Small Finance Bank Ltd.</t>
  </si>
  <si>
    <t>Jana Small Finance Bank Ltd.</t>
  </si>
  <si>
    <t>Utkarsh Small Finance Bank Ltd.</t>
  </si>
  <si>
    <t>Suryoday Small Finance Bank Ltd.</t>
  </si>
  <si>
    <t>Ujjivan Small Finance Bank Ltd.</t>
  </si>
  <si>
    <t>(In Per Cent)</t>
  </si>
  <si>
    <t xml:space="preserve">Au Small Finance Bank Ltd. </t>
  </si>
  <si>
    <t xml:space="preserve">Fincare Small Finance Bank Ltd. </t>
  </si>
  <si>
    <t>Au Small Finance Bank Ltd.</t>
  </si>
  <si>
    <t>Operating Exp. as % to Total Expenses</t>
  </si>
  <si>
    <t xml:space="preserve"> Statement I : Small Finance Banks : Deposits/Investments/Advances</t>
  </si>
  <si>
    <t>Statement II : Small Finance Banks : Assets/Gross and Net Non-Performing  Assets</t>
  </si>
  <si>
    <t>Statement III : Small Finance Banks : Income</t>
  </si>
  <si>
    <t xml:space="preserve"> Statement V : Small Finance Banks : Profit</t>
  </si>
  <si>
    <t>Statement VII : Small Finance Banks : Ratios</t>
  </si>
  <si>
    <t xml:space="preserve">As on March 31                                                                                                                                                                       </t>
  </si>
  <si>
    <r>
      <t xml:space="preserve"> </t>
    </r>
    <r>
      <rPr>
        <b/>
        <sz val="16"/>
        <rFont val="Arial Narrow"/>
        <family val="2"/>
      </rPr>
      <t>Statement IV : Small Finance Banks : Expenditure</t>
    </r>
  </si>
  <si>
    <r>
      <t xml:space="preserve"> </t>
    </r>
    <r>
      <rPr>
        <b/>
        <sz val="16"/>
        <rFont val="Arial Narrow"/>
        <family val="2"/>
      </rPr>
      <t>Statement VI : Small Finance Banks : Ratios</t>
    </r>
  </si>
  <si>
    <r>
      <t xml:space="preserve"> </t>
    </r>
    <r>
      <rPr>
        <b/>
        <sz val="16"/>
        <rFont val="Arial Narrow"/>
        <family val="2"/>
      </rPr>
      <t>Statement VIII : Small Finance Banks : Ratios</t>
    </r>
  </si>
  <si>
    <t xml:space="preserve">Suryoday Small Finance Bank Ltd. </t>
  </si>
  <si>
    <t>(₹ Lacs)</t>
  </si>
  <si>
    <t>Shivalik Small Finance Bank Ltd.</t>
  </si>
  <si>
    <t>Unity Small Finance Bank Ltd.</t>
  </si>
  <si>
    <t>Spread as % to Total Assets</t>
  </si>
  <si>
    <t>TOTAL OF SMALL FINANCE BANKS [I]</t>
  </si>
  <si>
    <t xml:space="preserve">Shivalik Small Finance Bank Ltd. </t>
  </si>
  <si>
    <t>Profit Per Employee</t>
  </si>
  <si>
    <t>Ujjivan Small Finance Bank Ltd. #</t>
  </si>
  <si>
    <t># Total Business is considered as Deposits + Gross Advances for claculating business per employee ratio.</t>
  </si>
  <si>
    <t>Au Small Finance Bank Ltd. #</t>
  </si>
  <si>
    <t xml:space="preserve"># As per the directions of the RBI, AU Small Finance Bank (AU SFB), announced the merger of Fincare SFB into AU SFB, effective from 01.04.2024. </t>
  </si>
  <si>
    <t>-</t>
  </si>
  <si>
    <t xml:space="preserve">Slice Small Finance Bank Ltd.(earlier North East SFB) </t>
  </si>
  <si>
    <t xml:space="preserve">Slice Small Finance Bank Ltd. (earlier North East SFB) </t>
  </si>
  <si>
    <t>* Excludes amount of Provisions &amp; Contingencies.</t>
  </si>
  <si>
    <t>Capital Adequacy Ratio -  Basel III [%] *</t>
  </si>
  <si>
    <t xml:space="preserve">* Capital Adequacy Ratio (CRAR) as mandated by RBI to Small Finance Banks (SFBs) is minimum 15 per cent.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</si>
</sst>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0.00_);\(0.00\)"/>
    <numFmt numFmtId="166" formatCode="#,##0;[Red]#,##0"/>
    <numFmt numFmtId="167" formatCode="0_);\(0\)"/>
    <numFmt numFmtId="168" formatCode="&quot;$&quot;#,##0\ ;\(&quot;$&quot;#,##0\)"/>
    <numFmt numFmtId="169" formatCode="_-* #,##0.00_-;\-* #,##0.00_-;_-* &quot;-&quot;??_-;_-@_-"/>
  </numFmts>
  <fonts count="3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1"/>
      <color theme="1"/>
      <name val="Calibri"/>
      <family val="2"/>
      <scheme val="minor"/>
    </font>
    <font>
      <sz val="12"/>
      <name val="Arial Narrow"/>
      <family val="2"/>
    </font>
    <font>
      <sz val="11"/>
      <color rgb="FFFF00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0"/>
      <name val="Book Antiqua"/>
      <family val="1"/>
    </font>
    <font>
      <sz val="11"/>
      <color indexed="8"/>
      <name val="Calibri"/>
      <family val="2"/>
    </font>
    <font>
      <b/>
      <sz val="16"/>
      <name val="Arial Narrow"/>
      <family val="2"/>
    </font>
    <font>
      <sz val="16"/>
      <name val="Arial Narrow"/>
      <family val="2"/>
    </font>
    <font>
      <b/>
      <i/>
      <sz val="12"/>
      <name val="Arial Narrow"/>
      <family val="2"/>
    </font>
    <font>
      <sz val="10"/>
      <color theme="1"/>
      <name val="Arial Narrow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0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name val="Arial Narrow"/>
      <family val="2"/>
    </font>
    <font>
      <b/>
      <sz val="10"/>
      <name val="Arial Narrow"/>
      <family val="2"/>
    </font>
    <font>
      <b/>
      <sz val="12"/>
      <color rgb="FFFF0000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13">
    <xf numFmtId="0" fontId="0" fillId="0" borderId="0"/>
    <xf numFmtId="0" fontId="2" fillId="0" borderId="0" applyFill="0" applyBorder="0"/>
    <xf numFmtId="0" fontId="3" fillId="0" borderId="0"/>
    <xf numFmtId="0" fontId="2" fillId="0" borderId="0" applyFill="0" applyBorder="0"/>
    <xf numFmtId="0" fontId="2" fillId="0" borderId="0" applyFill="0" applyBorder="0"/>
    <xf numFmtId="164" fontId="7" fillId="0" borderId="0" applyFont="0" applyFill="0" applyBorder="0" applyAlignment="0" applyProtection="0"/>
    <xf numFmtId="0" fontId="10" fillId="0" borderId="27" applyNumberFormat="0" applyFill="0" applyAlignment="0" applyProtection="0"/>
    <xf numFmtId="0" fontId="11" fillId="0" borderId="28" applyNumberFormat="0" applyFill="0" applyAlignment="0" applyProtection="0"/>
    <xf numFmtId="0" fontId="12" fillId="0" borderId="29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5" borderId="30" applyNumberFormat="0" applyAlignment="0" applyProtection="0"/>
    <xf numFmtId="0" fontId="16" fillId="6" borderId="31" applyNumberFormat="0" applyAlignment="0" applyProtection="0"/>
    <xf numFmtId="0" fontId="17" fillId="6" borderId="30" applyNumberFormat="0" applyAlignment="0" applyProtection="0"/>
    <xf numFmtId="0" fontId="18" fillId="0" borderId="32" applyNumberFormat="0" applyFill="0" applyAlignment="0" applyProtection="0"/>
    <xf numFmtId="0" fontId="19" fillId="7" borderId="33" applyNumberFormat="0" applyAlignment="0" applyProtection="0"/>
    <xf numFmtId="0" fontId="9" fillId="0" borderId="0" applyNumberFormat="0" applyFill="0" applyBorder="0" applyAlignment="0" applyProtection="0"/>
    <xf numFmtId="0" fontId="7" fillId="8" borderId="34" applyNumberFormat="0" applyFont="0" applyAlignment="0" applyProtection="0"/>
    <xf numFmtId="0" fontId="20" fillId="0" borderId="0" applyNumberFormat="0" applyFill="0" applyBorder="0" applyAlignment="0" applyProtection="0"/>
    <xf numFmtId="0" fontId="1" fillId="0" borderId="35" applyNumberFormat="0" applyFill="0" applyAlignment="0" applyProtection="0"/>
    <xf numFmtId="0" fontId="21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21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21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21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21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21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43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21" fillId="12" borderId="0" applyNumberFormat="0" applyBorder="0" applyAlignment="0" applyProtection="0"/>
    <xf numFmtId="0" fontId="21" fillId="16" borderId="0" applyNumberFormat="0" applyBorder="0" applyAlignment="0" applyProtection="0"/>
    <xf numFmtId="0" fontId="21" fillId="20" borderId="0" applyNumberFormat="0" applyBorder="0" applyAlignment="0" applyProtection="0"/>
    <xf numFmtId="0" fontId="21" fillId="24" borderId="0" applyNumberFormat="0" applyBorder="0" applyAlignment="0" applyProtection="0"/>
    <xf numFmtId="0" fontId="21" fillId="28" borderId="0" applyNumberFormat="0" applyBorder="0" applyAlignment="0" applyProtection="0"/>
    <xf numFmtId="0" fontId="21" fillId="32" borderId="0" applyNumberFormat="0" applyBorder="0" applyAlignment="0" applyProtection="0"/>
    <xf numFmtId="0" fontId="24" fillId="0" borderId="0"/>
    <xf numFmtId="0" fontId="2" fillId="0" borderId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8" borderId="34" applyNumberFormat="0" applyFont="0" applyAlignment="0" applyProtection="0"/>
    <xf numFmtId="0" fontId="25" fillId="8" borderId="34" applyNumberFormat="0" applyFont="0" applyAlignment="0" applyProtection="0"/>
    <xf numFmtId="0" fontId="25" fillId="8" borderId="34" applyNumberFormat="0" applyFont="0" applyAlignment="0" applyProtection="0"/>
    <xf numFmtId="0" fontId="2" fillId="0" borderId="0"/>
    <xf numFmtId="9" fontId="2" fillId="0" borderId="0" applyFont="0" applyFill="0" applyBorder="0" applyAlignment="0" applyProtection="0"/>
    <xf numFmtId="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" fillId="0" borderId="0"/>
    <xf numFmtId="0" fontId="2" fillId="0" borderId="0" applyFill="0" applyBorder="0"/>
    <xf numFmtId="0" fontId="3" fillId="0" borderId="0"/>
    <xf numFmtId="0" fontId="3" fillId="0" borderId="0"/>
    <xf numFmtId="0" fontId="2" fillId="0" borderId="0"/>
    <xf numFmtId="0" fontId="7" fillId="0" borderId="0"/>
    <xf numFmtId="0" fontId="3" fillId="0" borderId="0"/>
    <xf numFmtId="0" fontId="3" fillId="0" borderId="0"/>
    <xf numFmtId="0" fontId="2" fillId="0" borderId="44" applyNumberFormat="0" applyFont="0" applyFill="0" applyAlignment="0" applyProtection="0"/>
    <xf numFmtId="0" fontId="2" fillId="0" borderId="44" applyNumberFormat="0" applyFont="0" applyFill="0" applyAlignment="0" applyProtection="0"/>
  </cellStyleXfs>
  <cellXfs count="239">
    <xf numFmtId="0" fontId="0" fillId="0" borderId="0" xfId="0"/>
    <xf numFmtId="0" fontId="4" fillId="0" borderId="9" xfId="2" applyFont="1" applyBorder="1" applyAlignment="1">
      <alignment horizontal="center" vertical="center"/>
    </xf>
    <xf numFmtId="0" fontId="4" fillId="0" borderId="9" xfId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0" xfId="1" applyFont="1" applyFill="1" applyBorder="1" applyAlignment="1">
      <alignment horizontal="left" vertical="center"/>
    </xf>
    <xf numFmtId="4" fontId="6" fillId="0" borderId="0" xfId="0" applyNumberFormat="1" applyFont="1" applyAlignment="1">
      <alignment vertical="center"/>
    </xf>
    <xf numFmtId="166" fontId="6" fillId="0" borderId="6" xfId="5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3" fontId="6" fillId="0" borderId="6" xfId="0" applyNumberFormat="1" applyFont="1" applyBorder="1" applyAlignment="1">
      <alignment vertical="center"/>
    </xf>
    <xf numFmtId="3" fontId="5" fillId="0" borderId="20" xfId="0" applyNumberFormat="1" applyFont="1" applyBorder="1" applyAlignment="1">
      <alignment vertical="center"/>
    </xf>
    <xf numFmtId="4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6" fontId="8" fillId="0" borderId="6" xfId="5" applyNumberFormat="1" applyFont="1" applyFill="1" applyBorder="1" applyAlignment="1">
      <alignment horizontal="right" vertical="center"/>
    </xf>
    <xf numFmtId="166" fontId="8" fillId="0" borderId="6" xfId="5" applyNumberFormat="1" applyFont="1" applyFill="1" applyBorder="1" applyAlignment="1">
      <alignment vertical="center"/>
    </xf>
    <xf numFmtId="2" fontId="8" fillId="0" borderId="6" xfId="0" applyNumberFormat="1" applyFont="1" applyBorder="1" applyAlignment="1">
      <alignment horizontal="right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 wrapText="1"/>
    </xf>
    <xf numFmtId="3" fontId="6" fillId="0" borderId="6" xfId="5" applyNumberFormat="1" applyFont="1" applyFill="1" applyBorder="1" applyAlignment="1">
      <alignment horizontal="right" vertical="center"/>
    </xf>
    <xf numFmtId="3" fontId="8" fillId="0" borderId="6" xfId="5" applyNumberFormat="1" applyFont="1" applyFill="1" applyBorder="1" applyAlignment="1">
      <alignment horizontal="right" vertical="center"/>
    </xf>
    <xf numFmtId="0" fontId="6" fillId="0" borderId="6" xfId="0" applyFont="1" applyBorder="1" applyAlignment="1">
      <alignment vertical="center"/>
    </xf>
    <xf numFmtId="3" fontId="8" fillId="0" borderId="6" xfId="0" applyNumberFormat="1" applyFont="1" applyBorder="1" applyAlignment="1">
      <alignment vertical="center"/>
    </xf>
    <xf numFmtId="166" fontId="6" fillId="0" borderId="6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4" fontId="8" fillId="0" borderId="6" xfId="0" applyNumberFormat="1" applyFont="1" applyBorder="1" applyAlignment="1">
      <alignment horizontal="right" vertical="center"/>
    </xf>
    <xf numFmtId="4" fontId="8" fillId="0" borderId="6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166" fontId="8" fillId="0" borderId="6" xfId="0" applyNumberFormat="1" applyFont="1" applyBorder="1" applyAlignment="1">
      <alignment vertical="center"/>
    </xf>
    <xf numFmtId="4" fontId="5" fillId="0" borderId="20" xfId="0" applyNumberFormat="1" applyFont="1" applyBorder="1" applyAlignment="1">
      <alignment vertical="center"/>
    </xf>
    <xf numFmtId="0" fontId="29" fillId="0" borderId="0" xfId="0" applyFont="1" applyAlignment="1">
      <alignment vertical="center"/>
    </xf>
    <xf numFmtId="166" fontId="6" fillId="0" borderId="0" xfId="0" applyNumberFormat="1" applyFont="1" applyAlignment="1">
      <alignment vertical="center"/>
    </xf>
    <xf numFmtId="0" fontId="8" fillId="0" borderId="6" xfId="0" applyFont="1" applyBorder="1" applyAlignment="1">
      <alignment vertical="center"/>
    </xf>
    <xf numFmtId="1" fontId="8" fillId="0" borderId="6" xfId="0" applyNumberFormat="1" applyFont="1" applyBorder="1" applyAlignment="1">
      <alignment vertical="center"/>
    </xf>
    <xf numFmtId="3" fontId="4" fillId="0" borderId="20" xfId="0" applyNumberFormat="1" applyFont="1" applyBorder="1" applyAlignment="1">
      <alignment vertical="center"/>
    </xf>
    <xf numFmtId="4" fontId="4" fillId="0" borderId="20" xfId="0" applyNumberFormat="1" applyFont="1" applyBorder="1" applyAlignment="1">
      <alignment vertical="center"/>
    </xf>
    <xf numFmtId="166" fontId="5" fillId="0" borderId="0" xfId="0" applyNumberFormat="1" applyFont="1" applyAlignment="1">
      <alignment vertical="center"/>
    </xf>
    <xf numFmtId="4" fontId="6" fillId="0" borderId="8" xfId="0" applyNumberFormat="1" applyFont="1" applyBorder="1" applyAlignment="1">
      <alignment horizontal="right" vertical="center"/>
    </xf>
    <xf numFmtId="166" fontId="6" fillId="0" borderId="8" xfId="0" applyNumberFormat="1" applyFont="1" applyBorder="1" applyAlignment="1">
      <alignment vertical="center"/>
    </xf>
    <xf numFmtId="166" fontId="5" fillId="0" borderId="21" xfId="0" applyNumberFormat="1" applyFont="1" applyBorder="1" applyAlignment="1">
      <alignment vertical="center"/>
    </xf>
    <xf numFmtId="4" fontId="5" fillId="0" borderId="21" xfId="0" applyNumberFormat="1" applyFont="1" applyBorder="1" applyAlignment="1">
      <alignment horizontal="right" vertical="center"/>
    </xf>
    <xf numFmtId="3" fontId="6" fillId="0" borderId="0" xfId="0" applyNumberFormat="1" applyFont="1" applyAlignment="1">
      <alignment vertical="center"/>
    </xf>
    <xf numFmtId="4" fontId="6" fillId="0" borderId="6" xfId="0" applyNumberFormat="1" applyFont="1" applyBorder="1" applyAlignment="1">
      <alignment horizontal="right" vertical="center"/>
    </xf>
    <xf numFmtId="4" fontId="5" fillId="0" borderId="20" xfId="0" applyNumberFormat="1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4" fontId="5" fillId="0" borderId="19" xfId="0" applyNumberFormat="1" applyFont="1" applyBorder="1" applyAlignment="1">
      <alignment horizontal="center" vertical="center"/>
    </xf>
    <xf numFmtId="4" fontId="6" fillId="0" borderId="6" xfId="0" applyNumberFormat="1" applyFont="1" applyBorder="1" applyAlignment="1">
      <alignment horizontal="left" vertical="center" wrapText="1"/>
    </xf>
    <xf numFmtId="166" fontId="5" fillId="0" borderId="20" xfId="0" applyNumberFormat="1" applyFont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4" fontId="4" fillId="0" borderId="20" xfId="0" applyNumberFormat="1" applyFont="1" applyBorder="1" applyAlignment="1">
      <alignment horizontal="right" vertical="center"/>
    </xf>
    <xf numFmtId="2" fontId="8" fillId="0" borderId="6" xfId="0" applyNumberFormat="1" applyFont="1" applyBorder="1" applyAlignment="1">
      <alignment vertical="center"/>
    </xf>
    <xf numFmtId="165" fontId="8" fillId="0" borderId="6" xfId="0" applyNumberFormat="1" applyFont="1" applyBorder="1" applyAlignment="1">
      <alignment vertical="center"/>
    </xf>
    <xf numFmtId="4" fontId="8" fillId="0" borderId="8" xfId="0" applyNumberFormat="1" applyFont="1" applyBorder="1" applyAlignment="1">
      <alignment vertical="center"/>
    </xf>
    <xf numFmtId="4" fontId="4" fillId="0" borderId="19" xfId="0" applyNumberFormat="1" applyFont="1" applyBorder="1" applyAlignment="1">
      <alignment horizontal="center" vertical="center"/>
    </xf>
    <xf numFmtId="4" fontId="8" fillId="0" borderId="20" xfId="0" applyNumberFormat="1" applyFont="1" applyBorder="1" applyAlignment="1">
      <alignment vertical="center"/>
    </xf>
    <xf numFmtId="4" fontId="8" fillId="0" borderId="21" xfId="0" applyNumberFormat="1" applyFont="1" applyBorder="1" applyAlignment="1">
      <alignment vertical="center"/>
    </xf>
    <xf numFmtId="3" fontId="5" fillId="0" borderId="0" xfId="0" applyNumberFormat="1" applyFont="1" applyAlignment="1">
      <alignment vertical="center"/>
    </xf>
    <xf numFmtId="0" fontId="6" fillId="0" borderId="3" xfId="0" applyFont="1" applyBorder="1" applyAlignment="1">
      <alignment vertical="center" wrapText="1"/>
    </xf>
    <xf numFmtId="2" fontId="8" fillId="0" borderId="3" xfId="0" applyNumberFormat="1" applyFont="1" applyBorder="1" applyAlignment="1">
      <alignment horizontal="right" vertical="center"/>
    </xf>
    <xf numFmtId="4" fontId="6" fillId="0" borderId="3" xfId="0" applyNumberFormat="1" applyFont="1" applyBorder="1" applyAlignment="1">
      <alignment vertical="center"/>
    </xf>
    <xf numFmtId="4" fontId="6" fillId="0" borderId="12" xfId="0" applyNumberFormat="1" applyFont="1" applyBorder="1" applyAlignment="1">
      <alignment vertical="center"/>
    </xf>
    <xf numFmtId="4" fontId="8" fillId="0" borderId="8" xfId="0" applyNumberFormat="1" applyFont="1" applyBorder="1" applyAlignment="1">
      <alignment horizontal="right" vertical="center"/>
    </xf>
    <xf numFmtId="4" fontId="8" fillId="0" borderId="0" xfId="0" applyNumberFormat="1" applyFont="1" applyAlignment="1">
      <alignment vertical="center"/>
    </xf>
    <xf numFmtId="0" fontId="8" fillId="0" borderId="5" xfId="0" applyFont="1" applyBorder="1" applyAlignment="1">
      <alignment vertical="center"/>
    </xf>
    <xf numFmtId="4" fontId="8" fillId="0" borderId="5" xfId="0" applyNumberFormat="1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right" vertical="center"/>
    </xf>
    <xf numFmtId="4" fontId="8" fillId="0" borderId="5" xfId="0" applyNumberFormat="1" applyFont="1" applyBorder="1" applyAlignment="1">
      <alignment vertical="center"/>
    </xf>
    <xf numFmtId="4" fontId="8" fillId="0" borderId="18" xfId="0" applyNumberFormat="1" applyFont="1" applyBorder="1" applyAlignment="1">
      <alignment vertical="center"/>
    </xf>
    <xf numFmtId="0" fontId="8" fillId="0" borderId="16" xfId="0" applyFont="1" applyBorder="1" applyAlignment="1">
      <alignment horizontal="center" vertical="center"/>
    </xf>
    <xf numFmtId="0" fontId="8" fillId="0" borderId="3" xfId="0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2" fontId="8" fillId="0" borderId="8" xfId="0" applyNumberFormat="1" applyFont="1" applyBorder="1" applyAlignment="1">
      <alignment vertical="center"/>
    </xf>
    <xf numFmtId="0" fontId="8" fillId="0" borderId="1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4" fontId="8" fillId="0" borderId="3" xfId="0" applyNumberFormat="1" applyFont="1" applyBorder="1" applyAlignment="1">
      <alignment horizontal="right" vertical="center"/>
    </xf>
    <xf numFmtId="4" fontId="8" fillId="0" borderId="18" xfId="0" applyNumberFormat="1" applyFont="1" applyBorder="1" applyAlignment="1">
      <alignment horizontal="right" vertical="center"/>
    </xf>
    <xf numFmtId="166" fontId="8" fillId="0" borderId="3" xfId="5" applyNumberFormat="1" applyFont="1" applyFill="1" applyBorder="1" applyAlignment="1">
      <alignment vertical="center"/>
    </xf>
    <xf numFmtId="166" fontId="6" fillId="0" borderId="3" xfId="0" applyNumberFormat="1" applyFont="1" applyBorder="1" applyAlignment="1">
      <alignment vertical="center"/>
    </xf>
    <xf numFmtId="166" fontId="6" fillId="0" borderId="12" xfId="0" applyNumberFormat="1" applyFont="1" applyBorder="1" applyAlignment="1">
      <alignment vertical="center"/>
    </xf>
    <xf numFmtId="3" fontId="8" fillId="0" borderId="5" xfId="0" applyNumberFormat="1" applyFont="1" applyBorder="1" applyAlignment="1">
      <alignment horizontal="right" vertical="center"/>
    </xf>
    <xf numFmtId="166" fontId="6" fillId="0" borderId="3" xfId="5" applyNumberFormat="1" applyFont="1" applyFill="1" applyBorder="1" applyAlignment="1">
      <alignment horizontal="right" vertical="center"/>
    </xf>
    <xf numFmtId="166" fontId="8" fillId="0" borderId="3" xfId="5" applyNumberFormat="1" applyFont="1" applyFill="1" applyBorder="1" applyAlignment="1">
      <alignment horizontal="right" vertical="center"/>
    </xf>
    <xf numFmtId="3" fontId="6" fillId="0" borderId="3" xfId="0" applyNumberFormat="1" applyFont="1" applyBorder="1" applyAlignment="1">
      <alignment vertical="center"/>
    </xf>
    <xf numFmtId="166" fontId="6" fillId="0" borderId="6" xfId="5" applyNumberFormat="1" applyFont="1" applyFill="1" applyBorder="1" applyAlignment="1">
      <alignment vertical="center"/>
    </xf>
    <xf numFmtId="3" fontId="8" fillId="0" borderId="5" xfId="0" applyNumberFormat="1" applyFont="1" applyBorder="1" applyAlignment="1">
      <alignment vertical="center"/>
    </xf>
    <xf numFmtId="3" fontId="8" fillId="0" borderId="6" xfId="0" applyNumberFormat="1" applyFont="1" applyBorder="1" applyAlignment="1">
      <alignment horizontal="right" vertical="center"/>
    </xf>
    <xf numFmtId="166" fontId="8" fillId="0" borderId="0" xfId="0" applyNumberFormat="1" applyFont="1" applyAlignment="1">
      <alignment vertical="center"/>
    </xf>
    <xf numFmtId="4" fontId="6" fillId="0" borderId="0" xfId="0" applyNumberFormat="1" applyFont="1" applyAlignment="1">
      <alignment horizontal="right" vertical="center"/>
    </xf>
    <xf numFmtId="0" fontId="4" fillId="0" borderId="7" xfId="2" applyFont="1" applyBorder="1" applyAlignment="1">
      <alignment horizontal="left" vertical="center"/>
    </xf>
    <xf numFmtId="0" fontId="4" fillId="0" borderId="6" xfId="2" applyFont="1" applyBorder="1" applyAlignment="1">
      <alignment vertical="center"/>
    </xf>
    <xf numFmtId="3" fontId="6" fillId="0" borderId="16" xfId="0" applyNumberFormat="1" applyFont="1" applyBorder="1" applyAlignment="1">
      <alignment horizontal="center" vertical="center"/>
    </xf>
    <xf numFmtId="3" fontId="6" fillId="0" borderId="24" xfId="0" applyNumberFormat="1" applyFont="1" applyBorder="1" applyAlignment="1">
      <alignment vertical="center"/>
    </xf>
    <xf numFmtId="3" fontId="6" fillId="0" borderId="4" xfId="0" applyNumberFormat="1" applyFont="1" applyBorder="1" applyAlignment="1">
      <alignment vertical="center"/>
    </xf>
    <xf numFmtId="3" fontId="6" fillId="0" borderId="12" xfId="0" applyNumberFormat="1" applyFont="1" applyBorder="1" applyAlignment="1">
      <alignment vertical="center"/>
    </xf>
    <xf numFmtId="3" fontId="6" fillId="0" borderId="7" xfId="0" applyNumberFormat="1" applyFont="1" applyBorder="1" applyAlignment="1">
      <alignment horizontal="center" vertical="center"/>
    </xf>
    <xf numFmtId="4" fontId="6" fillId="0" borderId="6" xfId="0" applyNumberFormat="1" applyFont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3" fontId="6" fillId="0" borderId="36" xfId="0" applyNumberFormat="1" applyFont="1" applyBorder="1" applyAlignment="1">
      <alignment vertical="center"/>
    </xf>
    <xf numFmtId="3" fontId="6" fillId="0" borderId="8" xfId="0" applyNumberFormat="1" applyFont="1" applyBorder="1" applyAlignment="1">
      <alignment vertical="center"/>
    </xf>
    <xf numFmtId="3" fontId="8" fillId="0" borderId="2" xfId="0" applyNumberFormat="1" applyFont="1" applyBorder="1" applyAlignment="1">
      <alignment vertical="center"/>
    </xf>
    <xf numFmtId="3" fontId="8" fillId="0" borderId="36" xfId="0" applyNumberFormat="1" applyFont="1" applyBorder="1" applyAlignment="1">
      <alignment vertical="center"/>
    </xf>
    <xf numFmtId="3" fontId="8" fillId="0" borderId="8" xfId="0" applyNumberFormat="1" applyFont="1" applyBorder="1" applyAlignment="1">
      <alignment vertical="center"/>
    </xf>
    <xf numFmtId="3" fontId="6" fillId="0" borderId="6" xfId="0" applyNumberFormat="1" applyFont="1" applyBorder="1" applyAlignment="1">
      <alignment horizontal="right" vertical="center"/>
    </xf>
    <xf numFmtId="3" fontId="6" fillId="0" borderId="36" xfId="0" applyNumberFormat="1" applyFont="1" applyBorder="1" applyAlignment="1">
      <alignment horizontal="right" vertical="center"/>
    </xf>
    <xf numFmtId="4" fontId="6" fillId="0" borderId="5" xfId="0" applyNumberFormat="1" applyFont="1" applyBorder="1" applyAlignment="1">
      <alignment vertical="center"/>
    </xf>
    <xf numFmtId="3" fontId="8" fillId="0" borderId="18" xfId="0" applyNumberFormat="1" applyFont="1" applyBorder="1" applyAlignment="1">
      <alignment vertical="center"/>
    </xf>
    <xf numFmtId="3" fontId="5" fillId="0" borderId="22" xfId="0" applyNumberFormat="1" applyFont="1" applyBorder="1" applyAlignment="1">
      <alignment vertical="center"/>
    </xf>
    <xf numFmtId="3" fontId="5" fillId="0" borderId="26" xfId="0" applyNumberFormat="1" applyFont="1" applyBorder="1" applyAlignment="1">
      <alignment vertical="center"/>
    </xf>
    <xf numFmtId="3" fontId="5" fillId="0" borderId="21" xfId="0" applyNumberFormat="1" applyFont="1" applyBorder="1" applyAlignment="1">
      <alignment vertical="center"/>
    </xf>
    <xf numFmtId="0" fontId="6" fillId="0" borderId="24" xfId="0" applyFont="1" applyBorder="1" applyAlignment="1">
      <alignment vertical="center" wrapText="1"/>
    </xf>
    <xf numFmtId="3" fontId="6" fillId="0" borderId="3" xfId="0" applyNumberFormat="1" applyFont="1" applyBorder="1" applyAlignment="1">
      <alignment horizontal="right" vertical="center"/>
    </xf>
    <xf numFmtId="1" fontId="6" fillId="0" borderId="3" xfId="0" applyNumberFormat="1" applyFont="1" applyBorder="1" applyAlignment="1">
      <alignment vertical="center"/>
    </xf>
    <xf numFmtId="1" fontId="6" fillId="0" borderId="12" xfId="0" applyNumberFormat="1" applyFont="1" applyBorder="1" applyAlignment="1">
      <alignment vertical="center"/>
    </xf>
    <xf numFmtId="4" fontId="6" fillId="0" borderId="2" xfId="0" applyNumberFormat="1" applyFont="1" applyBorder="1" applyAlignment="1">
      <alignment vertical="center"/>
    </xf>
    <xf numFmtId="1" fontId="6" fillId="0" borderId="6" xfId="0" applyNumberFormat="1" applyFont="1" applyBorder="1" applyAlignment="1">
      <alignment vertical="center"/>
    </xf>
    <xf numFmtId="1" fontId="6" fillId="0" borderId="8" xfId="0" applyNumberFormat="1" applyFont="1" applyBorder="1" applyAlignment="1">
      <alignment vertical="center"/>
    </xf>
    <xf numFmtId="0" fontId="8" fillId="0" borderId="2" xfId="0" applyFont="1" applyBorder="1" applyAlignment="1">
      <alignment vertical="center"/>
    </xf>
    <xf numFmtId="1" fontId="8" fillId="0" borderId="8" xfId="0" applyNumberFormat="1" applyFont="1" applyBorder="1" applyAlignment="1">
      <alignment vertical="center"/>
    </xf>
    <xf numFmtId="4" fontId="5" fillId="0" borderId="22" xfId="0" applyNumberFormat="1" applyFont="1" applyBorder="1" applyAlignment="1">
      <alignment vertical="center"/>
    </xf>
    <xf numFmtId="0" fontId="4" fillId="0" borderId="7" xfId="2" applyFont="1" applyBorder="1" applyAlignment="1">
      <alignment vertical="center"/>
    </xf>
    <xf numFmtId="3" fontId="6" fillId="0" borderId="18" xfId="0" applyNumberFormat="1" applyFont="1" applyBorder="1" applyAlignment="1">
      <alignment vertical="center"/>
    </xf>
    <xf numFmtId="3" fontId="28" fillId="0" borderId="0" xfId="2" applyNumberFormat="1" applyFont="1" applyAlignment="1">
      <alignment horizontal="left" vertical="center"/>
    </xf>
    <xf numFmtId="167" fontId="8" fillId="0" borderId="6" xfId="0" applyNumberFormat="1" applyFont="1" applyBorder="1" applyAlignment="1">
      <alignment vertical="center"/>
    </xf>
    <xf numFmtId="167" fontId="8" fillId="0" borderId="8" xfId="0" applyNumberFormat="1" applyFont="1" applyBorder="1" applyAlignment="1">
      <alignment vertical="center"/>
    </xf>
    <xf numFmtId="0" fontId="8" fillId="0" borderId="9" xfId="0" applyFont="1" applyBorder="1" applyAlignment="1">
      <alignment vertical="center"/>
    </xf>
    <xf numFmtId="3" fontId="8" fillId="0" borderId="9" xfId="0" applyNumberFormat="1" applyFont="1" applyBorder="1" applyAlignment="1">
      <alignment vertical="center"/>
    </xf>
    <xf numFmtId="2" fontId="6" fillId="0" borderId="3" xfId="0" applyNumberFormat="1" applyFont="1" applyBorder="1" applyAlignment="1">
      <alignment horizontal="right" vertical="center"/>
    </xf>
    <xf numFmtId="2" fontId="6" fillId="0" borderId="6" xfId="0" applyNumberFormat="1" applyFont="1" applyBorder="1" applyAlignment="1">
      <alignment vertical="center"/>
    </xf>
    <xf numFmtId="165" fontId="8" fillId="0" borderId="8" xfId="0" applyNumberFormat="1" applyFont="1" applyBorder="1" applyAlignment="1">
      <alignment vertical="center"/>
    </xf>
    <xf numFmtId="0" fontId="32" fillId="0" borderId="0" xfId="0" applyFont="1" applyAlignment="1">
      <alignment horizontal="left" vertical="center" wrapText="1"/>
    </xf>
    <xf numFmtId="0" fontId="4" fillId="0" borderId="11" xfId="2" applyFont="1" applyBorder="1" applyAlignment="1">
      <alignment horizontal="left" vertical="center"/>
    </xf>
    <xf numFmtId="0" fontId="4" fillId="0" borderId="46" xfId="2" applyFont="1" applyBorder="1" applyAlignment="1">
      <alignment horizontal="center" vertical="center"/>
    </xf>
    <xf numFmtId="0" fontId="4" fillId="0" borderId="25" xfId="2" applyFont="1" applyBorder="1" applyAlignment="1">
      <alignment horizontal="center" vertical="center"/>
    </xf>
    <xf numFmtId="0" fontId="8" fillId="0" borderId="25" xfId="0" applyFont="1" applyBorder="1" applyAlignment="1">
      <alignment vertical="center"/>
    </xf>
    <xf numFmtId="3" fontId="8" fillId="0" borderId="9" xfId="0" applyNumberFormat="1" applyFont="1" applyBorder="1" applyAlignment="1">
      <alignment horizontal="right" vertical="center"/>
    </xf>
    <xf numFmtId="1" fontId="8" fillId="0" borderId="9" xfId="0" applyNumberFormat="1" applyFont="1" applyBorder="1" applyAlignment="1">
      <alignment vertical="center"/>
    </xf>
    <xf numFmtId="1" fontId="8" fillId="0" borderId="10" xfId="0" applyNumberFormat="1" applyFont="1" applyBorder="1" applyAlignment="1">
      <alignment vertical="center"/>
    </xf>
    <xf numFmtId="0" fontId="4" fillId="0" borderId="2" xfId="2" applyFont="1" applyBorder="1" applyAlignment="1">
      <alignment horizontal="left" vertical="center"/>
    </xf>
    <xf numFmtId="166" fontId="6" fillId="0" borderId="9" xfId="0" applyNumberFormat="1" applyFont="1" applyBorder="1" applyAlignment="1">
      <alignment vertical="center"/>
    </xf>
    <xf numFmtId="0" fontId="4" fillId="0" borderId="11" xfId="2" applyFont="1" applyBorder="1" applyAlignment="1">
      <alignment vertical="center"/>
    </xf>
    <xf numFmtId="0" fontId="4" fillId="0" borderId="2" xfId="2" applyFont="1" applyBorder="1" applyAlignment="1">
      <alignment vertical="center"/>
    </xf>
    <xf numFmtId="3" fontId="6" fillId="0" borderId="5" xfId="0" applyNumberFormat="1" applyFont="1" applyBorder="1" applyAlignment="1">
      <alignment vertical="center"/>
    </xf>
    <xf numFmtId="167" fontId="8" fillId="0" borderId="5" xfId="0" applyNumberFormat="1" applyFont="1" applyBorder="1" applyAlignment="1">
      <alignment vertical="center"/>
    </xf>
    <xf numFmtId="0" fontId="4" fillId="0" borderId="48" xfId="2" applyFont="1" applyBorder="1" applyAlignment="1">
      <alignment horizontal="center" vertical="center"/>
    </xf>
    <xf numFmtId="0" fontId="4" fillId="0" borderId="49" xfId="2" applyFont="1" applyBorder="1" applyAlignment="1">
      <alignment horizontal="center" vertical="center"/>
    </xf>
    <xf numFmtId="2" fontId="6" fillId="0" borderId="6" xfId="0" applyNumberFormat="1" applyFont="1" applyBorder="1" applyAlignment="1">
      <alignment horizontal="right" vertical="center"/>
    </xf>
    <xf numFmtId="2" fontId="6" fillId="0" borderId="5" xfId="0" applyNumberFormat="1" applyFont="1" applyBorder="1" applyAlignment="1">
      <alignment horizontal="right" vertical="center"/>
    </xf>
    <xf numFmtId="4" fontId="6" fillId="0" borderId="12" xfId="0" applyNumberFormat="1" applyFont="1" applyBorder="1" applyAlignment="1">
      <alignment horizontal="right" vertical="center"/>
    </xf>
    <xf numFmtId="4" fontId="5" fillId="0" borderId="21" xfId="0" applyNumberFormat="1" applyFont="1" applyBorder="1" applyAlignment="1">
      <alignment vertical="center"/>
    </xf>
    <xf numFmtId="3" fontId="6" fillId="0" borderId="10" xfId="0" applyNumberFormat="1" applyFont="1" applyBorder="1" applyAlignment="1">
      <alignment vertical="center"/>
    </xf>
    <xf numFmtId="3" fontId="8" fillId="0" borderId="36" xfId="0" applyNumberFormat="1" applyFont="1" applyBorder="1" applyAlignment="1">
      <alignment horizontal="right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2" fillId="0" borderId="0" xfId="0" applyFont="1" applyAlignment="1">
      <alignment vertical="center" wrapText="1"/>
    </xf>
    <xf numFmtId="0" fontId="8" fillId="0" borderId="45" xfId="0" applyFont="1" applyBorder="1" applyAlignment="1">
      <alignment vertical="center"/>
    </xf>
    <xf numFmtId="3" fontId="8" fillId="0" borderId="43" xfId="0" applyNumberFormat="1" applyFont="1" applyBorder="1" applyAlignment="1">
      <alignment horizontal="right" vertical="center"/>
    </xf>
    <xf numFmtId="3" fontId="8" fillId="0" borderId="23" xfId="0" applyNumberFormat="1" applyFont="1" applyBorder="1" applyAlignment="1">
      <alignment vertical="center"/>
    </xf>
    <xf numFmtId="0" fontId="6" fillId="0" borderId="6" xfId="0" applyFont="1" applyBorder="1" applyAlignment="1">
      <alignment vertical="center" wrapText="1"/>
    </xf>
    <xf numFmtId="4" fontId="6" fillId="0" borderId="6" xfId="0" applyNumberFormat="1" applyFont="1" applyBorder="1" applyAlignment="1">
      <alignment vertical="center" wrapText="1"/>
    </xf>
    <xf numFmtId="3" fontId="8" fillId="0" borderId="8" xfId="0" applyNumberFormat="1" applyFont="1" applyBorder="1" applyAlignment="1">
      <alignment horizontal="right" vertical="center"/>
    </xf>
    <xf numFmtId="4" fontId="6" fillId="0" borderId="2" xfId="0" applyNumberFormat="1" applyFont="1" applyBorder="1" applyAlignment="1">
      <alignment vertical="center" wrapText="1"/>
    </xf>
    <xf numFmtId="1" fontId="6" fillId="0" borderId="8" xfId="0" applyNumberFormat="1" applyFont="1" applyBorder="1" applyAlignment="1">
      <alignment horizontal="right" vertical="center"/>
    </xf>
    <xf numFmtId="3" fontId="6" fillId="0" borderId="8" xfId="0" applyNumberFormat="1" applyFont="1" applyBorder="1" applyAlignment="1">
      <alignment horizontal="right" vertical="center"/>
    </xf>
    <xf numFmtId="166" fontId="6" fillId="0" borderId="8" xfId="0" applyNumberFormat="1" applyFont="1" applyBorder="1" applyAlignment="1">
      <alignment horizontal="right" vertical="center"/>
    </xf>
    <xf numFmtId="0" fontId="8" fillId="0" borderId="6" xfId="0" applyFont="1" applyBorder="1" applyAlignment="1">
      <alignment vertical="center" wrapText="1"/>
    </xf>
    <xf numFmtId="0" fontId="8" fillId="0" borderId="8" xfId="0" applyFont="1" applyBorder="1" applyAlignment="1">
      <alignment horizontal="right" vertical="center"/>
    </xf>
    <xf numFmtId="4" fontId="36" fillId="0" borderId="0" xfId="0" applyNumberFormat="1" applyFont="1" applyAlignment="1">
      <alignment vertical="center"/>
    </xf>
    <xf numFmtId="3" fontId="8" fillId="33" borderId="6" xfId="0" applyNumberFormat="1" applyFont="1" applyFill="1" applyBorder="1" applyAlignment="1">
      <alignment horizontal="right" vertical="center"/>
    </xf>
    <xf numFmtId="2" fontId="8" fillId="33" borderId="6" xfId="0" applyNumberFormat="1" applyFont="1" applyFill="1" applyBorder="1" applyAlignment="1">
      <alignment horizontal="right" vertical="center"/>
    </xf>
    <xf numFmtId="2" fontId="6" fillId="33" borderId="6" xfId="0" applyNumberFormat="1" applyFont="1" applyFill="1" applyBorder="1" applyAlignment="1">
      <alignment vertical="center"/>
    </xf>
    <xf numFmtId="4" fontId="8" fillId="33" borderId="6" xfId="0" applyNumberFormat="1" applyFont="1" applyFill="1" applyBorder="1" applyAlignment="1">
      <alignment vertical="center"/>
    </xf>
    <xf numFmtId="4" fontId="8" fillId="33" borderId="5" xfId="0" applyNumberFormat="1" applyFont="1" applyFill="1" applyBorder="1" applyAlignment="1">
      <alignment vertical="center"/>
    </xf>
    <xf numFmtId="166" fontId="8" fillId="33" borderId="3" xfId="5" applyNumberFormat="1" applyFont="1" applyFill="1" applyBorder="1" applyAlignment="1">
      <alignment horizontal="right" vertical="center"/>
    </xf>
    <xf numFmtId="166" fontId="6" fillId="33" borderId="3" xfId="5" applyNumberFormat="1" applyFont="1" applyFill="1" applyBorder="1" applyAlignment="1">
      <alignment horizontal="right" vertical="center"/>
    </xf>
    <xf numFmtId="166" fontId="6" fillId="33" borderId="3" xfId="0" applyNumberFormat="1" applyFont="1" applyFill="1" applyBorder="1" applyAlignment="1">
      <alignment vertical="center"/>
    </xf>
    <xf numFmtId="166" fontId="8" fillId="33" borderId="6" xfId="5" applyNumberFormat="1" applyFont="1" applyFill="1" applyBorder="1" applyAlignment="1">
      <alignment vertical="center"/>
    </xf>
    <xf numFmtId="166" fontId="6" fillId="33" borderId="6" xfId="0" applyNumberFormat="1" applyFont="1" applyFill="1" applyBorder="1" applyAlignment="1">
      <alignment vertical="center"/>
    </xf>
    <xf numFmtId="0" fontId="33" fillId="0" borderId="0" xfId="0" applyFont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26" fillId="0" borderId="37" xfId="1" applyFont="1" applyFill="1" applyBorder="1" applyAlignment="1">
      <alignment horizontal="center" vertical="center"/>
    </xf>
    <xf numFmtId="0" fontId="26" fillId="0" borderId="38" xfId="1" applyFont="1" applyFill="1" applyBorder="1" applyAlignment="1">
      <alignment horizontal="center" vertical="center"/>
    </xf>
    <xf numFmtId="0" fontId="26" fillId="0" borderId="39" xfId="1" applyFont="1" applyFill="1" applyBorder="1" applyAlignment="1">
      <alignment horizontal="center" vertical="center"/>
    </xf>
    <xf numFmtId="165" fontId="4" fillId="0" borderId="6" xfId="3" applyNumberFormat="1" applyFont="1" applyFill="1" applyBorder="1" applyAlignment="1">
      <alignment horizontal="right" vertical="center"/>
    </xf>
    <xf numFmtId="165" fontId="4" fillId="0" borderId="8" xfId="3" applyNumberFormat="1" applyFont="1" applyFill="1" applyBorder="1" applyAlignment="1">
      <alignment horizontal="right" vertical="center"/>
    </xf>
    <xf numFmtId="0" fontId="5" fillId="0" borderId="4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4" fillId="0" borderId="48" xfId="2" applyFont="1" applyBorder="1" applyAlignment="1">
      <alignment horizontal="center" vertical="center"/>
    </xf>
    <xf numFmtId="0" fontId="4" fillId="0" borderId="17" xfId="2" applyFont="1" applyBorder="1" applyAlignment="1">
      <alignment horizontal="center" vertical="center" wrapText="1"/>
    </xf>
    <xf numFmtId="0" fontId="4" fillId="0" borderId="41" xfId="2" applyFont="1" applyBorder="1" applyAlignment="1">
      <alignment horizontal="center" vertical="center" wrapText="1"/>
    </xf>
    <xf numFmtId="0" fontId="26" fillId="0" borderId="13" xfId="1" applyFont="1" applyFill="1" applyBorder="1" applyAlignment="1">
      <alignment horizontal="center" vertical="center"/>
    </xf>
    <xf numFmtId="0" fontId="26" fillId="0" borderId="14" xfId="1" applyFont="1" applyFill="1" applyBorder="1" applyAlignment="1">
      <alignment horizontal="center" vertical="center"/>
    </xf>
    <xf numFmtId="0" fontId="26" fillId="0" borderId="15" xfId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36" xfId="0" applyFont="1" applyBorder="1" applyAlignment="1">
      <alignment horizontal="right" vertical="center"/>
    </xf>
    <xf numFmtId="0" fontId="5" fillId="0" borderId="40" xfId="0" applyFont="1" applyBorder="1" applyAlignment="1">
      <alignment horizontal="right" vertical="center"/>
    </xf>
    <xf numFmtId="0" fontId="5" fillId="0" borderId="6" xfId="0" applyFont="1" applyBorder="1" applyAlignment="1">
      <alignment horizontal="center" vertical="center" wrapText="1"/>
    </xf>
    <xf numFmtId="165" fontId="4" fillId="0" borderId="1" xfId="3" applyNumberFormat="1" applyFont="1" applyFill="1" applyBorder="1" applyAlignment="1">
      <alignment horizontal="right" vertical="center"/>
    </xf>
    <xf numFmtId="165" fontId="4" fillId="0" borderId="36" xfId="3" applyNumberFormat="1" applyFont="1" applyFill="1" applyBorder="1" applyAlignment="1">
      <alignment horizontal="right" vertical="center"/>
    </xf>
    <xf numFmtId="165" fontId="4" fillId="0" borderId="40" xfId="3" applyNumberFormat="1" applyFont="1" applyFill="1" applyBorder="1" applyAlignment="1">
      <alignment horizontal="right" vertical="center"/>
    </xf>
    <xf numFmtId="0" fontId="34" fillId="0" borderId="0" xfId="2" applyFont="1" applyAlignment="1">
      <alignment horizontal="center" vertical="center"/>
    </xf>
    <xf numFmtId="0" fontId="27" fillId="0" borderId="37" xfId="1" applyFont="1" applyFill="1" applyBorder="1" applyAlignment="1">
      <alignment horizontal="center" vertical="center"/>
    </xf>
    <xf numFmtId="0" fontId="27" fillId="0" borderId="38" xfId="1" applyFont="1" applyFill="1" applyBorder="1" applyAlignment="1">
      <alignment horizontal="center" vertical="center"/>
    </xf>
    <xf numFmtId="0" fontId="27" fillId="0" borderId="39" xfId="1" applyFont="1" applyFill="1" applyBorder="1" applyAlignment="1">
      <alignment horizontal="center" vertical="center"/>
    </xf>
    <xf numFmtId="0" fontId="34" fillId="0" borderId="0" xfId="2" applyFont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4" fillId="0" borderId="6" xfId="1" applyFont="1" applyFill="1" applyBorder="1" applyAlignment="1">
      <alignment horizontal="center" vertical="center"/>
    </xf>
    <xf numFmtId="0" fontId="4" fillId="0" borderId="8" xfId="1" applyFont="1" applyFill="1" applyBorder="1" applyAlignment="1">
      <alignment horizontal="center" vertical="center"/>
    </xf>
    <xf numFmtId="0" fontId="4" fillId="0" borderId="7" xfId="2" applyFont="1" applyBorder="1" applyAlignment="1">
      <alignment horizontal="left" vertical="center"/>
    </xf>
    <xf numFmtId="0" fontId="4" fillId="0" borderId="6" xfId="2" applyFont="1" applyBorder="1" applyAlignment="1">
      <alignment horizontal="left" vertical="center"/>
    </xf>
    <xf numFmtId="0" fontId="4" fillId="0" borderId="6" xfId="2" applyFont="1" applyBorder="1" applyAlignment="1">
      <alignment horizontal="right" vertical="center"/>
    </xf>
    <xf numFmtId="0" fontId="4" fillId="0" borderId="8" xfId="2" applyFont="1" applyBorder="1" applyAlignment="1">
      <alignment horizontal="right" vertical="center"/>
    </xf>
    <xf numFmtId="0" fontId="27" fillId="0" borderId="13" xfId="1" applyFont="1" applyFill="1" applyBorder="1" applyAlignment="1">
      <alignment horizontal="center" vertical="center"/>
    </xf>
    <xf numFmtId="0" fontId="27" fillId="0" borderId="14" xfId="1" applyFont="1" applyFill="1" applyBorder="1" applyAlignment="1">
      <alignment horizontal="center" vertical="center"/>
    </xf>
    <xf numFmtId="0" fontId="27" fillId="0" borderId="15" xfId="1" applyFont="1" applyFill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11" xfId="2" applyFont="1" applyBorder="1" applyAlignment="1">
      <alignment horizontal="left" vertical="center"/>
    </xf>
    <xf numFmtId="0" fontId="4" fillId="0" borderId="2" xfId="2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33" fillId="0" borderId="0" xfId="0" applyFont="1" applyAlignment="1">
      <alignment horizontal="left" vertical="center"/>
    </xf>
    <xf numFmtId="0" fontId="4" fillId="0" borderId="8" xfId="0" applyFont="1" applyBorder="1" applyAlignment="1">
      <alignment horizontal="center" vertical="center" wrapText="1"/>
    </xf>
    <xf numFmtId="165" fontId="4" fillId="0" borderId="6" xfId="4" applyNumberFormat="1" applyFont="1" applyFill="1" applyBorder="1" applyAlignment="1">
      <alignment horizontal="right" vertical="center"/>
    </xf>
    <xf numFmtId="165" fontId="4" fillId="0" borderId="8" xfId="4" applyNumberFormat="1" applyFont="1" applyFill="1" applyBorder="1" applyAlignment="1">
      <alignment horizontal="right" vertical="center"/>
    </xf>
    <xf numFmtId="0" fontId="35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113">
    <cellStyle name="20% - Accent1" xfId="22" builtinId="30" customBuiltin="1"/>
    <cellStyle name="20% - Accent1 2" xfId="55" xr:uid="{00000000-0005-0000-0000-000001000000}"/>
    <cellStyle name="20% - Accent1 3" xfId="56" xr:uid="{00000000-0005-0000-0000-000002000000}"/>
    <cellStyle name="20% - Accent2" xfId="25" builtinId="34" customBuiltin="1"/>
    <cellStyle name="20% - Accent2 2" xfId="57" xr:uid="{00000000-0005-0000-0000-000004000000}"/>
    <cellStyle name="20% - Accent2 3" xfId="58" xr:uid="{00000000-0005-0000-0000-000005000000}"/>
    <cellStyle name="20% - Accent3" xfId="28" builtinId="38" customBuiltin="1"/>
    <cellStyle name="20% - Accent3 2" xfId="59" xr:uid="{00000000-0005-0000-0000-000007000000}"/>
    <cellStyle name="20% - Accent3 3" xfId="60" xr:uid="{00000000-0005-0000-0000-000008000000}"/>
    <cellStyle name="20% - Accent4" xfId="31" builtinId="42" customBuiltin="1"/>
    <cellStyle name="20% - Accent4 2" xfId="61" xr:uid="{00000000-0005-0000-0000-00000A000000}"/>
    <cellStyle name="20% - Accent4 3" xfId="62" xr:uid="{00000000-0005-0000-0000-00000B000000}"/>
    <cellStyle name="20% - Accent5" xfId="34" builtinId="46" customBuiltin="1"/>
    <cellStyle name="20% - Accent5 2" xfId="63" xr:uid="{00000000-0005-0000-0000-00000D000000}"/>
    <cellStyle name="20% - Accent5 3" xfId="64" xr:uid="{00000000-0005-0000-0000-00000E000000}"/>
    <cellStyle name="20% - Accent6" xfId="37" builtinId="50" customBuiltin="1"/>
    <cellStyle name="20% - Accent6 2" xfId="65" xr:uid="{00000000-0005-0000-0000-000010000000}"/>
    <cellStyle name="20% - Accent6 3" xfId="66" xr:uid="{00000000-0005-0000-0000-000011000000}"/>
    <cellStyle name="40% - Accent1" xfId="23" builtinId="31" customBuiltin="1"/>
    <cellStyle name="40% - Accent1 2" xfId="67" xr:uid="{00000000-0005-0000-0000-000013000000}"/>
    <cellStyle name="40% - Accent1 3" xfId="68" xr:uid="{00000000-0005-0000-0000-000014000000}"/>
    <cellStyle name="40% - Accent2" xfId="26" builtinId="35" customBuiltin="1"/>
    <cellStyle name="40% - Accent2 2" xfId="69" xr:uid="{00000000-0005-0000-0000-000016000000}"/>
    <cellStyle name="40% - Accent2 3" xfId="70" xr:uid="{00000000-0005-0000-0000-000017000000}"/>
    <cellStyle name="40% - Accent3" xfId="29" builtinId="39" customBuiltin="1"/>
    <cellStyle name="40% - Accent3 2" xfId="71" xr:uid="{00000000-0005-0000-0000-000019000000}"/>
    <cellStyle name="40% - Accent3 3" xfId="72" xr:uid="{00000000-0005-0000-0000-00001A000000}"/>
    <cellStyle name="40% - Accent4" xfId="32" builtinId="43" customBuiltin="1"/>
    <cellStyle name="40% - Accent4 2" xfId="73" xr:uid="{00000000-0005-0000-0000-00001C000000}"/>
    <cellStyle name="40% - Accent4 3" xfId="74" xr:uid="{00000000-0005-0000-0000-00001D000000}"/>
    <cellStyle name="40% - Accent5" xfId="35" builtinId="47" customBuiltin="1"/>
    <cellStyle name="40% - Accent5 2" xfId="75" xr:uid="{00000000-0005-0000-0000-00001F000000}"/>
    <cellStyle name="40% - Accent5 3" xfId="76" xr:uid="{00000000-0005-0000-0000-000020000000}"/>
    <cellStyle name="40% - Accent6" xfId="38" builtinId="51" customBuiltin="1"/>
    <cellStyle name="40% - Accent6 2" xfId="77" xr:uid="{00000000-0005-0000-0000-000022000000}"/>
    <cellStyle name="40% - Accent6 3" xfId="78" xr:uid="{00000000-0005-0000-0000-000023000000}"/>
    <cellStyle name="60% - Accent1 2" xfId="47" xr:uid="{00000000-0005-0000-0000-000024000000}"/>
    <cellStyle name="60% - Accent2 2" xfId="48" xr:uid="{00000000-0005-0000-0000-000025000000}"/>
    <cellStyle name="60% - Accent3 2" xfId="49" xr:uid="{00000000-0005-0000-0000-000026000000}"/>
    <cellStyle name="60% - Accent4 2" xfId="50" xr:uid="{00000000-0005-0000-0000-000027000000}"/>
    <cellStyle name="60% - Accent5 2" xfId="51" xr:uid="{00000000-0005-0000-0000-000028000000}"/>
    <cellStyle name="60% - Accent6 2" xfId="52" xr:uid="{00000000-0005-0000-0000-000029000000}"/>
    <cellStyle name="Accent1" xfId="21" builtinId="29" customBuiltin="1"/>
    <cellStyle name="Accent2" xfId="24" builtinId="33" customBuiltin="1"/>
    <cellStyle name="Accent3" xfId="27" builtinId="37" customBuiltin="1"/>
    <cellStyle name="Accent4" xfId="30" builtinId="41" customBuiltin="1"/>
    <cellStyle name="Accent5" xfId="33" builtinId="45" customBuiltin="1"/>
    <cellStyle name="Accent6" xfId="36" builtinId="49" customBuiltin="1"/>
    <cellStyle name="Bad" xfId="11" builtinId="27" customBuiltin="1"/>
    <cellStyle name="Calculation" xfId="14" builtinId="22" customBuiltin="1"/>
    <cellStyle name="Check Cell" xfId="16" builtinId="23" customBuiltin="1"/>
    <cellStyle name="Comma" xfId="5" builtinId="3"/>
    <cellStyle name="Comma 2" xfId="39" xr:uid="{00000000-0005-0000-0000-000034000000}"/>
    <cellStyle name="Comma 2 2" xfId="89" xr:uid="{D97C43EF-C1C9-4A9B-A996-ED6F32789A64}"/>
    <cellStyle name="Comma 3" xfId="41" xr:uid="{00000000-0005-0000-0000-000035000000}"/>
    <cellStyle name="Comma 3 2" xfId="44" xr:uid="{00000000-0005-0000-0000-000036000000}"/>
    <cellStyle name="Comma 4" xfId="42" xr:uid="{00000000-0005-0000-0000-000037000000}"/>
    <cellStyle name="Comma 4 2" xfId="90" xr:uid="{44CEBF78-EBFF-4454-BBED-6FEE138EC983}"/>
    <cellStyle name="Comma 5" xfId="91" xr:uid="{FF004878-6BC3-46C8-B9BE-EC2839BAA09F}"/>
    <cellStyle name="Comma 6" xfId="92" xr:uid="{4DB6B733-9AFE-4E94-9A71-4F8590C25745}"/>
    <cellStyle name="Comma 7" xfId="88" xr:uid="{A08B4D3B-9080-4EFC-9BE9-728400942880}"/>
    <cellStyle name="Comma0" xfId="93" xr:uid="{4A72B018-561B-4E26-8B3F-EDC9299C40B5}"/>
    <cellStyle name="Comma0 2" xfId="94" xr:uid="{AFFBAE8C-F125-444A-A635-45F87D95B15B}"/>
    <cellStyle name="Currency0" xfId="95" xr:uid="{849B02E1-2728-40A5-948F-6AC7848BC799}"/>
    <cellStyle name="Currency0 2" xfId="96" xr:uid="{99C0FE55-9430-421C-8059-82800BDB420F}"/>
    <cellStyle name="Date" xfId="97" xr:uid="{5B0FCE61-8E90-4EB5-A521-612C0D01091A}"/>
    <cellStyle name="Date 2" xfId="98" xr:uid="{048157C9-DE94-4168-84FF-0036D32204C5}"/>
    <cellStyle name="Explanatory Text" xfId="19" builtinId="53" customBuiltin="1"/>
    <cellStyle name="Fixed" xfId="40" xr:uid="{00000000-0005-0000-0000-000039000000}"/>
    <cellStyle name="Fixed 2" xfId="43" xr:uid="{00000000-0005-0000-0000-00003A000000}"/>
    <cellStyle name="Good" xfId="10" builtinId="26" customBuiltin="1"/>
    <cellStyle name="Heading 1" xfId="6" builtinId="16" customBuiltin="1"/>
    <cellStyle name="Heading 1 2" xfId="100" xr:uid="{F054BE19-83CE-408F-AF04-FC18F346E547}"/>
    <cellStyle name="Heading 1 3" xfId="99" xr:uid="{2C201EAF-3B40-4B77-83CB-45E21E40C6D9}"/>
    <cellStyle name="Heading 2" xfId="7" builtinId="17" customBuiltin="1"/>
    <cellStyle name="Heading 2 2" xfId="102" xr:uid="{4FB77FCA-4185-4B7C-BD6B-945E363F25D9}"/>
    <cellStyle name="Heading 2 3" xfId="101" xr:uid="{4E0C0B18-83EB-4394-8A99-0FA1247BBA39}"/>
    <cellStyle name="Heading 3" xfId="8" builtinId="18" customBuiltin="1"/>
    <cellStyle name="Heading 4" xfId="9" builtinId="19" customBuiltin="1"/>
    <cellStyle name="Input" xfId="12" builtinId="20" customBuiltin="1"/>
    <cellStyle name="Linked Cell" xfId="15" builtinId="24" customBuiltin="1"/>
    <cellStyle name="Neutral 2" xfId="46" xr:uid="{00000000-0005-0000-0000-000042000000}"/>
    <cellStyle name="Normal" xfId="0" builtinId="0"/>
    <cellStyle name="Normal 11" xfId="79" xr:uid="{00000000-0005-0000-0000-000044000000}"/>
    <cellStyle name="Normal 2" xfId="1" xr:uid="{00000000-0005-0000-0000-000045000000}"/>
    <cellStyle name="Normal 2 2" xfId="80" xr:uid="{00000000-0005-0000-0000-000046000000}"/>
    <cellStyle name="Normal 2 2 2" xfId="105" xr:uid="{27496075-66F9-49D0-91E1-65A698678F0C}"/>
    <cellStyle name="Normal 2 2 3" xfId="104" xr:uid="{43D71BC7-5917-4E73-9C76-5578445FC49D}"/>
    <cellStyle name="Normal 2 3" xfId="106" xr:uid="{EDF2459E-D457-41F3-B8F9-FDB7E6C614BC}"/>
    <cellStyle name="Normal 2 4" xfId="103" xr:uid="{EA0C3C24-F82D-4E41-B40B-3F11C789FF03}"/>
    <cellStyle name="Normal 3" xfId="3" xr:uid="{00000000-0005-0000-0000-000047000000}"/>
    <cellStyle name="Normal 3 2" xfId="4" xr:uid="{00000000-0005-0000-0000-000048000000}"/>
    <cellStyle name="Normal 3 2 2" xfId="81" xr:uid="{00000000-0005-0000-0000-000049000000}"/>
    <cellStyle name="Normal 3 3" xfId="108" xr:uid="{4D60ACB2-E3D7-40E0-99D3-2C7FB3B74948}"/>
    <cellStyle name="Normal 3 4" xfId="107" xr:uid="{047DF838-C97D-4E05-9CE6-00E744BB3772}"/>
    <cellStyle name="Normal 4" xfId="82" xr:uid="{00000000-0005-0000-0000-00004A000000}"/>
    <cellStyle name="Normal 4 2" xfId="109" xr:uid="{F9DDE43C-B4A4-43DA-BAA4-F2D7FCBFEFDE}"/>
    <cellStyle name="Normal 5" xfId="54" xr:uid="{00000000-0005-0000-0000-00004B000000}"/>
    <cellStyle name="Normal 6" xfId="53" xr:uid="{00000000-0005-0000-0000-00004C000000}"/>
    <cellStyle name="Normal 6 2" xfId="110" xr:uid="{9276CEB3-E1D7-4EB7-9B43-7FCBFB33AFFB}"/>
    <cellStyle name="Normal 7" xfId="86" xr:uid="{00000000-0005-0000-0000-00004D000000}"/>
    <cellStyle name="Normal_Sheet1" xfId="2" xr:uid="{00000000-0005-0000-0000-00004E000000}"/>
    <cellStyle name="Note" xfId="18" builtinId="10" customBuiltin="1"/>
    <cellStyle name="Note 2" xfId="83" xr:uid="{00000000-0005-0000-0000-000050000000}"/>
    <cellStyle name="Note 3" xfId="84" xr:uid="{00000000-0005-0000-0000-000051000000}"/>
    <cellStyle name="Note 4" xfId="85" xr:uid="{00000000-0005-0000-0000-000052000000}"/>
    <cellStyle name="Output" xfId="13" builtinId="21" customBuiltin="1"/>
    <cellStyle name="Percent 2" xfId="87" xr:uid="{00000000-0005-0000-0000-000054000000}"/>
    <cellStyle name="Title 2" xfId="45" xr:uid="{00000000-0005-0000-0000-000055000000}"/>
    <cellStyle name="Total" xfId="20" builtinId="25" customBuiltin="1"/>
    <cellStyle name="Total 2" xfId="112" xr:uid="{BC5EFA05-671F-43B0-87D5-5A0E11401753}"/>
    <cellStyle name="Total 3" xfId="111" xr:uid="{D37C1913-34F1-4DC7-B187-88376A011A86}"/>
    <cellStyle name="Warning Text" xfId="17" builtinId="11" customBuiltin="1"/>
  </cellStyles>
  <dxfs count="0"/>
  <tableStyles count="0" defaultTableStyle="TableStyleMedium9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28"/>
  <sheetViews>
    <sheetView zoomScaleNormal="100" zoomScaleSheetLayoutView="100" workbookViewId="0">
      <selection activeCell="B20" sqref="B20:L20"/>
    </sheetView>
  </sheetViews>
  <sheetFormatPr defaultColWidth="9.28515625" defaultRowHeight="15.75" x14ac:dyDescent="0.25"/>
  <cols>
    <col min="1" max="1" width="10.28515625" style="8" customWidth="1"/>
    <col min="2" max="2" width="7.42578125" style="28" customWidth="1"/>
    <col min="3" max="3" width="47.7109375" style="8" bestFit="1" customWidth="1"/>
    <col min="4" max="12" width="10.7109375" style="8" customWidth="1"/>
    <col min="13" max="13" width="9.28515625" style="8"/>
    <col min="14" max="14" width="11.28515625" style="8" customWidth="1"/>
    <col min="15" max="16" width="10.7109375" style="8" bestFit="1" customWidth="1"/>
    <col min="17" max="16384" width="9.28515625" style="8"/>
  </cols>
  <sheetData>
    <row r="1" spans="2:16" ht="16.5" thickBot="1" x14ac:dyDescent="0.3"/>
    <row r="2" spans="2:16" ht="20.25" x14ac:dyDescent="0.25">
      <c r="B2" s="183" t="s">
        <v>36</v>
      </c>
      <c r="C2" s="184"/>
      <c r="D2" s="184"/>
      <c r="E2" s="184"/>
      <c r="F2" s="184"/>
      <c r="G2" s="184"/>
      <c r="H2" s="184"/>
      <c r="I2" s="184"/>
      <c r="J2" s="184"/>
      <c r="K2" s="184"/>
      <c r="L2" s="185"/>
    </row>
    <row r="3" spans="2:16" ht="17.25" customHeight="1" x14ac:dyDescent="0.25">
      <c r="B3" s="91" t="s">
        <v>0</v>
      </c>
      <c r="C3" s="92"/>
      <c r="D3" s="186" t="s">
        <v>1</v>
      </c>
      <c r="E3" s="186"/>
      <c r="F3" s="186"/>
      <c r="G3" s="186"/>
      <c r="H3" s="186"/>
      <c r="I3" s="186"/>
      <c r="J3" s="186"/>
      <c r="K3" s="186"/>
      <c r="L3" s="187"/>
    </row>
    <row r="4" spans="2:16" ht="34.9" customHeight="1" x14ac:dyDescent="0.25">
      <c r="B4" s="196" t="s">
        <v>23</v>
      </c>
      <c r="C4" s="194" t="s">
        <v>2</v>
      </c>
      <c r="D4" s="188" t="s">
        <v>3</v>
      </c>
      <c r="E4" s="189"/>
      <c r="F4" s="190"/>
      <c r="G4" s="191" t="s">
        <v>4</v>
      </c>
      <c r="H4" s="191"/>
      <c r="I4" s="191"/>
      <c r="J4" s="192" t="s">
        <v>5</v>
      </c>
      <c r="K4" s="192"/>
      <c r="L4" s="193"/>
    </row>
    <row r="5" spans="2:16" s="13" customFormat="1" ht="18" customHeight="1" thickBot="1" x14ac:dyDescent="0.3">
      <c r="B5" s="197"/>
      <c r="C5" s="195"/>
      <c r="D5" s="1">
        <v>2023</v>
      </c>
      <c r="E5" s="134">
        <v>2024</v>
      </c>
      <c r="F5" s="1">
        <v>2025</v>
      </c>
      <c r="G5" s="1">
        <v>2023</v>
      </c>
      <c r="H5" s="1">
        <v>2024</v>
      </c>
      <c r="I5" s="1">
        <v>2025</v>
      </c>
      <c r="J5" s="135">
        <v>2023</v>
      </c>
      <c r="K5" s="1">
        <v>2024</v>
      </c>
      <c r="L5" s="4">
        <v>2025</v>
      </c>
    </row>
    <row r="6" spans="2:16" s="6" customFormat="1" ht="19.149999999999999" customHeight="1" x14ac:dyDescent="0.25">
      <c r="B6" s="93">
        <v>1</v>
      </c>
      <c r="C6" s="58" t="s">
        <v>55</v>
      </c>
      <c r="D6" s="85">
        <v>69364.990000000005</v>
      </c>
      <c r="E6" s="95">
        <v>87182.116399999999</v>
      </c>
      <c r="F6" s="85">
        <v>124268.54</v>
      </c>
      <c r="G6" s="85">
        <v>20072</v>
      </c>
      <c r="H6" s="85">
        <v>27133.365300000001</v>
      </c>
      <c r="I6" s="85">
        <v>37847.519999999997</v>
      </c>
      <c r="J6" s="94">
        <v>58421.54</v>
      </c>
      <c r="K6" s="85">
        <v>73162.654699999999</v>
      </c>
      <c r="L6" s="96">
        <v>107092.48</v>
      </c>
    </row>
    <row r="7" spans="2:16" s="6" customFormat="1" ht="19.149999999999999" customHeight="1" x14ac:dyDescent="0.25">
      <c r="B7" s="97">
        <v>2</v>
      </c>
      <c r="C7" s="98" t="s">
        <v>24</v>
      </c>
      <c r="D7" s="9">
        <v>6560.62</v>
      </c>
      <c r="E7" s="100">
        <v>7477.74</v>
      </c>
      <c r="F7" s="9">
        <v>8322.6</v>
      </c>
      <c r="G7" s="9">
        <v>1488.58</v>
      </c>
      <c r="H7" s="9">
        <v>1705.71</v>
      </c>
      <c r="I7" s="9">
        <v>1819.45</v>
      </c>
      <c r="J7" s="99">
        <v>5428.69</v>
      </c>
      <c r="K7" s="9">
        <v>6074.69</v>
      </c>
      <c r="L7" s="101">
        <v>7090.39</v>
      </c>
    </row>
    <row r="8" spans="2:16" s="6" customFormat="1" ht="19.149999999999999" customHeight="1" x14ac:dyDescent="0.25">
      <c r="B8" s="97">
        <v>3</v>
      </c>
      <c r="C8" s="98" t="s">
        <v>25</v>
      </c>
      <c r="D8" s="9">
        <v>25348.48</v>
      </c>
      <c r="E8" s="100">
        <v>36129.2022</v>
      </c>
      <c r="F8" s="9">
        <v>43106.720000000001</v>
      </c>
      <c r="G8" s="9">
        <v>6664.56</v>
      </c>
      <c r="H8" s="9">
        <v>9065.2723000000005</v>
      </c>
      <c r="I8" s="9">
        <v>9288.6851000000006</v>
      </c>
      <c r="J8" s="99">
        <v>25798.55</v>
      </c>
      <c r="K8" s="9">
        <v>30964.299900000002</v>
      </c>
      <c r="L8" s="101">
        <v>36208.888099999996</v>
      </c>
    </row>
    <row r="9" spans="2:16" s="6" customFormat="1" ht="19.149999999999999" customHeight="1" x14ac:dyDescent="0.25">
      <c r="B9" s="97">
        <v>4</v>
      </c>
      <c r="C9" s="98" t="s">
        <v>26</v>
      </c>
      <c r="D9" s="9">
        <v>14665.63</v>
      </c>
      <c r="E9" s="100">
        <v>19867.8</v>
      </c>
      <c r="F9" s="9">
        <v>23276.44</v>
      </c>
      <c r="G9" s="9">
        <v>4888.53</v>
      </c>
      <c r="H9" s="9">
        <v>5541.02</v>
      </c>
      <c r="I9" s="9">
        <v>5995.26</v>
      </c>
      <c r="J9" s="99">
        <v>13924.33</v>
      </c>
      <c r="K9" s="9">
        <v>18293.11</v>
      </c>
      <c r="L9" s="101">
        <v>18027.87</v>
      </c>
      <c r="N9" s="42"/>
      <c r="O9" s="42"/>
      <c r="P9" s="42"/>
    </row>
    <row r="10" spans="2:16" s="6" customFormat="1" ht="18.600000000000001" customHeight="1" x14ac:dyDescent="0.25">
      <c r="B10" s="97">
        <v>5</v>
      </c>
      <c r="C10" s="162" t="s">
        <v>33</v>
      </c>
      <c r="D10" s="23">
        <v>8033.19</v>
      </c>
      <c r="E10" s="103">
        <v>10521.7</v>
      </c>
      <c r="F10" s="88" t="s">
        <v>57</v>
      </c>
      <c r="G10" s="23">
        <v>2522.84</v>
      </c>
      <c r="H10" s="23">
        <v>3184.61</v>
      </c>
      <c r="I10" s="88" t="s">
        <v>57</v>
      </c>
      <c r="J10" s="102">
        <v>8702.42</v>
      </c>
      <c r="K10" s="23">
        <v>12357.78</v>
      </c>
      <c r="L10" s="163" t="s">
        <v>57</v>
      </c>
      <c r="N10" s="42"/>
      <c r="O10" s="42"/>
      <c r="P10" s="42"/>
    </row>
    <row r="11" spans="2:16" s="6" customFormat="1" ht="19.149999999999999" customHeight="1" x14ac:dyDescent="0.25">
      <c r="B11" s="97">
        <v>6</v>
      </c>
      <c r="C11" s="98" t="s">
        <v>27</v>
      </c>
      <c r="D11" s="23">
        <v>16334.02</v>
      </c>
      <c r="E11" s="103">
        <v>22571.25</v>
      </c>
      <c r="F11" s="23">
        <v>29119.78</v>
      </c>
      <c r="G11" s="23">
        <v>5221.22</v>
      </c>
      <c r="H11" s="23">
        <v>6737.69</v>
      </c>
      <c r="I11" s="23">
        <v>5944.58</v>
      </c>
      <c r="J11" s="102">
        <v>17759.560000000001</v>
      </c>
      <c r="K11" s="23">
        <v>23111.27</v>
      </c>
      <c r="L11" s="104">
        <v>27155.48</v>
      </c>
      <c r="N11" s="42"/>
      <c r="O11" s="42"/>
      <c r="P11" s="42"/>
    </row>
    <row r="12" spans="2:16" s="6" customFormat="1" ht="18" customHeight="1" x14ac:dyDescent="0.25">
      <c r="B12" s="97">
        <v>7</v>
      </c>
      <c r="C12" s="47" t="s">
        <v>58</v>
      </c>
      <c r="D12" s="105">
        <v>2039.63</v>
      </c>
      <c r="E12" s="106">
        <v>1519.57</v>
      </c>
      <c r="F12" s="105">
        <v>2418.38</v>
      </c>
      <c r="G12" s="105">
        <v>348.29</v>
      </c>
      <c r="H12" s="105">
        <v>550.19000000000005</v>
      </c>
      <c r="I12" s="105">
        <v>778.13</v>
      </c>
      <c r="J12" s="102">
        <v>1603.25</v>
      </c>
      <c r="K12" s="23">
        <v>802.43</v>
      </c>
      <c r="L12" s="104">
        <v>2904.87</v>
      </c>
      <c r="M12" s="11"/>
      <c r="N12" s="170"/>
    </row>
    <row r="13" spans="2:16" s="6" customFormat="1" ht="19.149999999999999" customHeight="1" x14ac:dyDescent="0.25">
      <c r="B13" s="97">
        <v>8</v>
      </c>
      <c r="C13" s="98" t="s">
        <v>29</v>
      </c>
      <c r="D13" s="105">
        <v>5166.72</v>
      </c>
      <c r="E13" s="106">
        <v>7777.27</v>
      </c>
      <c r="F13" s="105">
        <v>10579.61</v>
      </c>
      <c r="G13" s="105">
        <v>2570.19</v>
      </c>
      <c r="H13" s="105">
        <v>2599.3000000000002</v>
      </c>
      <c r="I13" s="105">
        <v>3137.48</v>
      </c>
      <c r="J13" s="99">
        <v>6015.05</v>
      </c>
      <c r="K13" s="9">
        <v>8077.97</v>
      </c>
      <c r="L13" s="101">
        <v>9974.35</v>
      </c>
    </row>
    <row r="14" spans="2:16" s="6" customFormat="1" ht="19.149999999999999" customHeight="1" x14ac:dyDescent="0.25">
      <c r="B14" s="97">
        <v>9</v>
      </c>
      <c r="C14" s="98" t="s">
        <v>30</v>
      </c>
      <c r="D14" s="105">
        <v>25537.68</v>
      </c>
      <c r="E14" s="106">
        <v>31462.36</v>
      </c>
      <c r="F14" s="105">
        <v>37630.480000000003</v>
      </c>
      <c r="G14" s="105">
        <v>8510.31</v>
      </c>
      <c r="H14" s="105">
        <v>9766.02</v>
      </c>
      <c r="I14" s="105">
        <v>11729.99</v>
      </c>
      <c r="J14" s="99">
        <v>21289.66</v>
      </c>
      <c r="K14" s="9">
        <v>26882.92</v>
      </c>
      <c r="L14" s="101">
        <v>31390</v>
      </c>
    </row>
    <row r="15" spans="2:16" s="6" customFormat="1" ht="19.149999999999999" customHeight="1" x14ac:dyDescent="0.25">
      <c r="B15" s="97">
        <v>10</v>
      </c>
      <c r="C15" s="107" t="s">
        <v>28</v>
      </c>
      <c r="D15" s="9">
        <v>13710.14</v>
      </c>
      <c r="E15" s="100">
        <v>17472.598099999999</v>
      </c>
      <c r="F15" s="9">
        <v>21565.698899999999</v>
      </c>
      <c r="G15" s="105">
        <v>2859.42</v>
      </c>
      <c r="H15" s="105">
        <v>3679.4652000000001</v>
      </c>
      <c r="I15" s="105">
        <v>4957.8851000000004</v>
      </c>
      <c r="J15" s="99">
        <v>13068.75</v>
      </c>
      <c r="K15" s="9">
        <v>16364.8091</v>
      </c>
      <c r="L15" s="101">
        <v>18716.4758</v>
      </c>
    </row>
    <row r="16" spans="2:16" s="25" customFormat="1" ht="19.149999999999999" customHeight="1" x14ac:dyDescent="0.25">
      <c r="B16" s="97">
        <v>11</v>
      </c>
      <c r="C16" s="33" t="s">
        <v>51</v>
      </c>
      <c r="D16" s="88">
        <v>1894.26</v>
      </c>
      <c r="E16" s="153">
        <v>2409.66</v>
      </c>
      <c r="F16" s="88">
        <v>3161.06</v>
      </c>
      <c r="G16" s="88">
        <v>533.35</v>
      </c>
      <c r="H16" s="88">
        <v>495.63</v>
      </c>
      <c r="I16" s="88">
        <v>634.529</v>
      </c>
      <c r="J16" s="102">
        <v>1407.37</v>
      </c>
      <c r="K16" s="23">
        <v>2095.38</v>
      </c>
      <c r="L16" s="104">
        <v>2934.5594999999998</v>
      </c>
    </row>
    <row r="17" spans="2:12" s="25" customFormat="1" ht="19.149999999999999" customHeight="1" thickBot="1" x14ac:dyDescent="0.3">
      <c r="B17" s="97">
        <v>12</v>
      </c>
      <c r="C17" s="158" t="s">
        <v>48</v>
      </c>
      <c r="D17" s="82">
        <v>2684.62</v>
      </c>
      <c r="E17" s="159">
        <v>6505</v>
      </c>
      <c r="F17" s="82">
        <v>11951.89</v>
      </c>
      <c r="G17" s="82">
        <v>2435.8000000000002</v>
      </c>
      <c r="H17" s="82">
        <v>3825</v>
      </c>
      <c r="I17" s="82">
        <v>5151.99</v>
      </c>
      <c r="J17" s="160">
        <v>4468.1899999999996</v>
      </c>
      <c r="K17" s="87">
        <v>7961</v>
      </c>
      <c r="L17" s="108">
        <v>10985.18</v>
      </c>
    </row>
    <row r="18" spans="2:12" s="11" customFormat="1" ht="19.149999999999999" customHeight="1" thickBot="1" x14ac:dyDescent="0.3">
      <c r="B18" s="46"/>
      <c r="C18" s="30" t="s">
        <v>50</v>
      </c>
      <c r="D18" s="10">
        <f t="shared" ref="D18:K18" si="0">SUM(D6:D17)</f>
        <v>191339.97999999998</v>
      </c>
      <c r="E18" s="110">
        <f t="shared" si="0"/>
        <v>250896.26670000001</v>
      </c>
      <c r="F18" s="10">
        <f>SUM(F6:F17)</f>
        <v>315401.19890000002</v>
      </c>
      <c r="G18" s="10">
        <f t="shared" si="0"/>
        <v>58115.090000000011</v>
      </c>
      <c r="H18" s="10">
        <f t="shared" si="0"/>
        <v>74283.272800000021</v>
      </c>
      <c r="I18" s="10">
        <f>SUM(I6:I17)</f>
        <v>87285.499200000006</v>
      </c>
      <c r="J18" s="109">
        <f t="shared" si="0"/>
        <v>177887.35999999999</v>
      </c>
      <c r="K18" s="10">
        <f t="shared" si="0"/>
        <v>226148.3137</v>
      </c>
      <c r="L18" s="111">
        <f>SUM(L6:L17)</f>
        <v>272480.54340000002</v>
      </c>
    </row>
    <row r="20" spans="2:12" ht="16.899999999999999" customHeight="1" x14ac:dyDescent="0.25">
      <c r="B20" s="182" t="s">
        <v>56</v>
      </c>
      <c r="C20" s="182"/>
      <c r="D20" s="182"/>
      <c r="E20" s="182"/>
      <c r="F20" s="182"/>
      <c r="G20" s="182"/>
      <c r="H20" s="182"/>
      <c r="I20" s="182"/>
      <c r="J20" s="182"/>
      <c r="K20" s="182"/>
      <c r="L20" s="182"/>
    </row>
    <row r="21" spans="2:12" ht="15.6" customHeight="1" x14ac:dyDescent="0.25"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</row>
    <row r="22" spans="2:12" ht="18" customHeight="1" x14ac:dyDescent="0.25">
      <c r="B22" s="181">
        <v>1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</row>
    <row r="23" spans="2:12" s="31" customFormat="1" ht="17.45" customHeight="1" x14ac:dyDescent="0.25"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32"/>
    </row>
    <row r="24" spans="2:12" x14ac:dyDescent="0.25">
      <c r="B24" s="8"/>
    </row>
    <row r="25" spans="2:12" x14ac:dyDescent="0.25">
      <c r="B25" s="8"/>
      <c r="D25" s="6"/>
      <c r="E25" s="6"/>
      <c r="F25" s="6"/>
      <c r="G25" s="6"/>
      <c r="H25" s="6"/>
      <c r="I25" s="6"/>
      <c r="J25" s="6"/>
      <c r="K25" s="6"/>
      <c r="L25" s="6"/>
    </row>
    <row r="26" spans="2:12" x14ac:dyDescent="0.25">
      <c r="B26" s="8"/>
    </row>
    <row r="27" spans="2:12" x14ac:dyDescent="0.25">
      <c r="B27" s="8"/>
    </row>
    <row r="28" spans="2:12" x14ac:dyDescent="0.25">
      <c r="B28" s="8"/>
    </row>
  </sheetData>
  <mergeCells count="9">
    <mergeCell ref="B22:L22"/>
    <mergeCell ref="B20:L20"/>
    <mergeCell ref="B2:L2"/>
    <mergeCell ref="D3:L3"/>
    <mergeCell ref="D4:F4"/>
    <mergeCell ref="G4:I4"/>
    <mergeCell ref="J4:L4"/>
    <mergeCell ref="C4:C5"/>
    <mergeCell ref="B4:B5"/>
  </mergeCells>
  <pageMargins left="0.23622047244094491" right="0.23622047244094491" top="0.74803149606299213" bottom="0.74803149606299213" header="0.31496062992125984" footer="0.31496062992125984"/>
  <pageSetup scale="8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21"/>
  <sheetViews>
    <sheetView zoomScaleNormal="100" zoomScaleSheetLayoutView="100" workbookViewId="0">
      <selection activeCell="C4" activeCellId="1" sqref="B4:B5 C4:C5"/>
    </sheetView>
  </sheetViews>
  <sheetFormatPr defaultColWidth="9.28515625" defaultRowHeight="15.75" x14ac:dyDescent="0.25"/>
  <cols>
    <col min="1" max="1" width="10.85546875" style="8" customWidth="1"/>
    <col min="2" max="2" width="6.85546875" style="8" customWidth="1"/>
    <col min="3" max="3" width="48.28515625" style="8" bestFit="1" customWidth="1"/>
    <col min="4" max="4" width="10.85546875" style="13" customWidth="1"/>
    <col min="5" max="6" width="11.140625" style="13" customWidth="1"/>
    <col min="7" max="7" width="10" style="13" customWidth="1"/>
    <col min="8" max="8" width="10.140625" style="13" customWidth="1"/>
    <col min="9" max="9" width="10.7109375" style="13" customWidth="1"/>
    <col min="10" max="10" width="10.28515625" style="8" customWidth="1"/>
    <col min="11" max="12" width="10.5703125" style="8" customWidth="1"/>
    <col min="13" max="13" width="9.28515625" style="8"/>
    <col min="14" max="16" width="10.7109375" style="8" bestFit="1" customWidth="1"/>
    <col min="17" max="16384" width="9.28515625" style="8"/>
  </cols>
  <sheetData>
    <row r="1" spans="2:16" ht="16.5" thickBot="1" x14ac:dyDescent="0.3"/>
    <row r="2" spans="2:16" s="18" customFormat="1" ht="21" customHeight="1" x14ac:dyDescent="0.25">
      <c r="B2" s="198" t="s">
        <v>37</v>
      </c>
      <c r="C2" s="199"/>
      <c r="D2" s="199"/>
      <c r="E2" s="199"/>
      <c r="F2" s="199"/>
      <c r="G2" s="199"/>
      <c r="H2" s="199"/>
      <c r="I2" s="199"/>
      <c r="J2" s="199"/>
      <c r="K2" s="199"/>
      <c r="L2" s="200"/>
    </row>
    <row r="3" spans="2:16" s="18" customFormat="1" ht="18" customHeight="1" x14ac:dyDescent="0.25">
      <c r="B3" s="133" t="s">
        <v>0</v>
      </c>
      <c r="C3" s="140"/>
      <c r="D3" s="203" t="s">
        <v>1</v>
      </c>
      <c r="E3" s="203"/>
      <c r="F3" s="203"/>
      <c r="G3" s="203"/>
      <c r="H3" s="203"/>
      <c r="I3" s="203"/>
      <c r="J3" s="203"/>
      <c r="K3" s="203"/>
      <c r="L3" s="204"/>
    </row>
    <row r="4" spans="2:16" s="13" customFormat="1" ht="34.15" customHeight="1" x14ac:dyDescent="0.25">
      <c r="B4" s="196" t="s">
        <v>23</v>
      </c>
      <c r="C4" s="194" t="s">
        <v>2</v>
      </c>
      <c r="D4" s="201" t="s">
        <v>6</v>
      </c>
      <c r="E4" s="201"/>
      <c r="F4" s="201"/>
      <c r="G4" s="201" t="s">
        <v>7</v>
      </c>
      <c r="H4" s="201"/>
      <c r="I4" s="201"/>
      <c r="J4" s="201" t="s">
        <v>8</v>
      </c>
      <c r="K4" s="201"/>
      <c r="L4" s="202"/>
      <c r="N4" s="28"/>
      <c r="O4" s="28"/>
    </row>
    <row r="5" spans="2:16" s="18" customFormat="1" ht="19.149999999999999" customHeight="1" thickBot="1" x14ac:dyDescent="0.3">
      <c r="B5" s="197"/>
      <c r="C5" s="195"/>
      <c r="D5" s="1">
        <v>2023</v>
      </c>
      <c r="E5" s="1">
        <v>2024</v>
      </c>
      <c r="F5" s="1">
        <v>2025</v>
      </c>
      <c r="G5" s="1">
        <v>2023</v>
      </c>
      <c r="H5" s="1">
        <v>2024</v>
      </c>
      <c r="I5" s="1">
        <v>2025</v>
      </c>
      <c r="J5" s="1">
        <v>2023</v>
      </c>
      <c r="K5" s="1">
        <v>2024</v>
      </c>
      <c r="L5" s="4">
        <v>2025</v>
      </c>
      <c r="N5" s="5"/>
      <c r="O5" s="5"/>
      <c r="P5" s="5"/>
    </row>
    <row r="6" spans="2:16" ht="19.149999999999999" customHeight="1" x14ac:dyDescent="0.25">
      <c r="B6" s="93">
        <v>1</v>
      </c>
      <c r="C6" s="112" t="s">
        <v>32</v>
      </c>
      <c r="D6" s="83">
        <v>90216.11</v>
      </c>
      <c r="E6" s="83">
        <v>109425.66989999999</v>
      </c>
      <c r="F6" s="83">
        <v>157845.66620000001</v>
      </c>
      <c r="G6" s="113">
        <v>981.31</v>
      </c>
      <c r="H6" s="113">
        <v>1237.4004</v>
      </c>
      <c r="I6" s="113">
        <v>2477.0299</v>
      </c>
      <c r="J6" s="114">
        <v>245.15880000000001</v>
      </c>
      <c r="K6" s="114">
        <v>400.98970000000003</v>
      </c>
      <c r="L6" s="115">
        <v>791.34</v>
      </c>
    </row>
    <row r="7" spans="2:16" ht="19.149999999999999" customHeight="1" x14ac:dyDescent="0.25">
      <c r="B7" s="97">
        <v>2</v>
      </c>
      <c r="C7" s="116" t="s">
        <v>24</v>
      </c>
      <c r="D7" s="7">
        <v>7990.77</v>
      </c>
      <c r="E7" s="7">
        <v>9295.2800000000007</v>
      </c>
      <c r="F7" s="7">
        <v>10107.51</v>
      </c>
      <c r="G7" s="105">
        <v>152.62</v>
      </c>
      <c r="H7" s="105">
        <v>170.18</v>
      </c>
      <c r="I7" s="105">
        <v>185.34</v>
      </c>
      <c r="J7" s="117">
        <v>74.05</v>
      </c>
      <c r="K7" s="117">
        <v>85.07</v>
      </c>
      <c r="L7" s="118">
        <v>91.84</v>
      </c>
    </row>
    <row r="8" spans="2:16" ht="19.149999999999999" customHeight="1" x14ac:dyDescent="0.25">
      <c r="B8" s="97">
        <v>3</v>
      </c>
      <c r="C8" s="116" t="s">
        <v>25</v>
      </c>
      <c r="D8" s="105">
        <v>34958.125599999999</v>
      </c>
      <c r="E8" s="105">
        <v>45303.869899999998</v>
      </c>
      <c r="F8" s="105">
        <v>52835.63</v>
      </c>
      <c r="G8" s="105">
        <v>723.96</v>
      </c>
      <c r="H8" s="105">
        <v>821.27719999999999</v>
      </c>
      <c r="I8" s="105">
        <v>1067.7299</v>
      </c>
      <c r="J8" s="117">
        <v>312.01</v>
      </c>
      <c r="K8" s="117">
        <v>360.89879999999999</v>
      </c>
      <c r="L8" s="118">
        <v>354.1952</v>
      </c>
      <c r="N8" s="42"/>
      <c r="O8" s="42"/>
      <c r="P8" s="42"/>
    </row>
    <row r="9" spans="2:16" ht="19.149999999999999" customHeight="1" x14ac:dyDescent="0.25">
      <c r="B9" s="97">
        <v>4</v>
      </c>
      <c r="C9" s="116" t="s">
        <v>26</v>
      </c>
      <c r="D9" s="7">
        <v>20223.66</v>
      </c>
      <c r="E9" s="7">
        <v>26086.880000000001</v>
      </c>
      <c r="F9" s="7">
        <v>27178.29</v>
      </c>
      <c r="G9" s="20">
        <v>351.69</v>
      </c>
      <c r="H9" s="20">
        <v>893.04</v>
      </c>
      <c r="I9" s="20">
        <v>1290.56</v>
      </c>
      <c r="J9" s="117">
        <v>157.88999999999999</v>
      </c>
      <c r="K9" s="117">
        <v>413.79</v>
      </c>
      <c r="L9" s="118">
        <v>539.64</v>
      </c>
      <c r="N9" s="42"/>
      <c r="O9" s="42"/>
      <c r="P9" s="42"/>
    </row>
    <row r="10" spans="2:16" ht="19.899999999999999" customHeight="1" x14ac:dyDescent="0.25">
      <c r="B10" s="97">
        <v>5</v>
      </c>
      <c r="C10" s="164" t="s">
        <v>33</v>
      </c>
      <c r="D10" s="7">
        <v>12467.69</v>
      </c>
      <c r="E10" s="7">
        <v>17267.43</v>
      </c>
      <c r="F10" s="7" t="s">
        <v>57</v>
      </c>
      <c r="G10" s="20">
        <v>288.47000000000003</v>
      </c>
      <c r="H10" s="20">
        <v>199.54</v>
      </c>
      <c r="I10" s="20" t="s">
        <v>57</v>
      </c>
      <c r="J10" s="117">
        <v>113.02</v>
      </c>
      <c r="K10" s="117">
        <v>78.42</v>
      </c>
      <c r="L10" s="165" t="s">
        <v>57</v>
      </c>
      <c r="N10" s="42"/>
      <c r="O10" s="42"/>
      <c r="P10" s="42"/>
    </row>
    <row r="11" spans="2:16" ht="19.149999999999999" customHeight="1" x14ac:dyDescent="0.25">
      <c r="B11" s="97">
        <v>6</v>
      </c>
      <c r="C11" s="116" t="s">
        <v>27</v>
      </c>
      <c r="D11" s="7">
        <v>25643.599999999999</v>
      </c>
      <c r="E11" s="7">
        <v>32709.78</v>
      </c>
      <c r="F11" s="7">
        <v>38463.620000000003</v>
      </c>
      <c r="G11" s="20">
        <v>709.19</v>
      </c>
      <c r="H11" s="20">
        <v>494.33</v>
      </c>
      <c r="I11" s="20">
        <v>749.6</v>
      </c>
      <c r="J11" s="117">
        <v>468</v>
      </c>
      <c r="K11" s="117">
        <v>130.02000000000001</v>
      </c>
      <c r="L11" s="118">
        <v>254.185</v>
      </c>
    </row>
    <row r="12" spans="2:16" ht="18.75" customHeight="1" x14ac:dyDescent="0.25">
      <c r="B12" s="97">
        <v>7</v>
      </c>
      <c r="C12" s="47" t="s">
        <v>59</v>
      </c>
      <c r="D12" s="7">
        <v>2710.44</v>
      </c>
      <c r="E12" s="7">
        <v>1686.55</v>
      </c>
      <c r="F12" s="7">
        <v>4329.8999999999996</v>
      </c>
      <c r="G12" s="20">
        <v>347.33</v>
      </c>
      <c r="H12" s="20">
        <v>99.2</v>
      </c>
      <c r="I12" s="20">
        <v>184.76</v>
      </c>
      <c r="J12" s="117">
        <v>27.16</v>
      </c>
      <c r="K12" s="117">
        <v>67.06</v>
      </c>
      <c r="L12" s="118">
        <v>135.59</v>
      </c>
    </row>
    <row r="13" spans="2:16" ht="19.149999999999999" customHeight="1" x14ac:dyDescent="0.25">
      <c r="B13" s="97">
        <v>8</v>
      </c>
      <c r="C13" s="116" t="s">
        <v>29</v>
      </c>
      <c r="D13" s="7">
        <v>9861.2199999999993</v>
      </c>
      <c r="E13" s="7">
        <v>12377.69</v>
      </c>
      <c r="F13" s="7">
        <v>15614.39</v>
      </c>
      <c r="G13" s="20">
        <v>191.4</v>
      </c>
      <c r="H13" s="20">
        <v>242.37</v>
      </c>
      <c r="I13" s="20">
        <v>733.84</v>
      </c>
      <c r="J13" s="117">
        <v>92.97</v>
      </c>
      <c r="K13" s="117">
        <v>69.87</v>
      </c>
      <c r="L13" s="118">
        <v>457.02</v>
      </c>
    </row>
    <row r="14" spans="2:16" ht="19.149999999999999" customHeight="1" x14ac:dyDescent="0.25">
      <c r="B14" s="97">
        <v>9</v>
      </c>
      <c r="C14" s="116" t="s">
        <v>30</v>
      </c>
      <c r="D14" s="7">
        <v>33316.879999999997</v>
      </c>
      <c r="E14" s="7">
        <v>40422.22</v>
      </c>
      <c r="F14" s="7">
        <v>47689.15</v>
      </c>
      <c r="G14" s="20">
        <v>630.61</v>
      </c>
      <c r="H14" s="20">
        <v>612.52</v>
      </c>
      <c r="I14" s="20">
        <v>695.89</v>
      </c>
      <c r="J14" s="117">
        <v>9.0399999999999991</v>
      </c>
      <c r="K14" s="117">
        <v>76.290000000000006</v>
      </c>
      <c r="L14" s="118">
        <v>152.43</v>
      </c>
    </row>
    <row r="15" spans="2:16" ht="19.149999999999999" customHeight="1" x14ac:dyDescent="0.25">
      <c r="B15" s="97">
        <v>10</v>
      </c>
      <c r="C15" s="116" t="s">
        <v>28</v>
      </c>
      <c r="D15" s="20">
        <v>19117.54</v>
      </c>
      <c r="E15" s="20">
        <v>23902.677</v>
      </c>
      <c r="F15" s="20">
        <v>28127.43</v>
      </c>
      <c r="G15" s="20">
        <v>431.5</v>
      </c>
      <c r="H15" s="20">
        <v>417.57819999999998</v>
      </c>
      <c r="I15" s="20">
        <v>1854.38</v>
      </c>
      <c r="J15" s="117">
        <v>50.51</v>
      </c>
      <c r="K15" s="117">
        <v>4.4800000000000004</v>
      </c>
      <c r="L15" s="118">
        <v>905.27</v>
      </c>
    </row>
    <row r="16" spans="2:16" s="25" customFormat="1" ht="19.149999999999999" customHeight="1" x14ac:dyDescent="0.25">
      <c r="B16" s="97">
        <v>11</v>
      </c>
      <c r="C16" s="119" t="s">
        <v>51</v>
      </c>
      <c r="D16" s="88">
        <v>2249.85</v>
      </c>
      <c r="E16" s="171">
        <v>3028.52</v>
      </c>
      <c r="F16" s="88">
        <v>4119.76</v>
      </c>
      <c r="G16" s="88">
        <v>32.729999999999997</v>
      </c>
      <c r="H16" s="88">
        <v>42.71</v>
      </c>
      <c r="I16" s="88">
        <v>80.126499999999993</v>
      </c>
      <c r="J16" s="34">
        <v>16.3</v>
      </c>
      <c r="K16" s="34">
        <v>17.63</v>
      </c>
      <c r="L16" s="120">
        <v>44.246000000000002</v>
      </c>
    </row>
    <row r="17" spans="2:12" s="25" customFormat="1" ht="19.149999999999999" customHeight="1" thickBot="1" x14ac:dyDescent="0.3">
      <c r="B17" s="97">
        <v>12</v>
      </c>
      <c r="C17" s="136" t="s">
        <v>48</v>
      </c>
      <c r="D17" s="137">
        <v>8761.33</v>
      </c>
      <c r="E17" s="137">
        <v>13774</v>
      </c>
      <c r="F17" s="137">
        <v>19151.939999999999</v>
      </c>
      <c r="G17" s="137">
        <v>3767.36</v>
      </c>
      <c r="H17" s="137">
        <v>360.21</v>
      </c>
      <c r="I17" s="137">
        <v>669.43</v>
      </c>
      <c r="J17" s="138">
        <v>15.31</v>
      </c>
      <c r="K17" s="138">
        <v>50</v>
      </c>
      <c r="L17" s="139">
        <v>169.37</v>
      </c>
    </row>
    <row r="18" spans="2:12" ht="19.149999999999999" customHeight="1" thickBot="1" x14ac:dyDescent="0.3">
      <c r="B18" s="46"/>
      <c r="C18" s="121" t="s">
        <v>50</v>
      </c>
      <c r="D18" s="48">
        <f t="shared" ref="D18:K18" si="0">SUM(D6:D17)</f>
        <v>267517.21560000005</v>
      </c>
      <c r="E18" s="48">
        <f t="shared" si="0"/>
        <v>335280.56680000003</v>
      </c>
      <c r="F18" s="48">
        <f>SUM(F6:F17)</f>
        <v>405463.28620000009</v>
      </c>
      <c r="G18" s="10">
        <f t="shared" si="0"/>
        <v>8608.17</v>
      </c>
      <c r="H18" s="10">
        <f t="shared" si="0"/>
        <v>5590.3557999999994</v>
      </c>
      <c r="I18" s="10">
        <f>SUM(I6:I17)</f>
        <v>9988.6863000000012</v>
      </c>
      <c r="J18" s="10">
        <f t="shared" si="0"/>
        <v>1581.4187999999999</v>
      </c>
      <c r="K18" s="10">
        <f t="shared" si="0"/>
        <v>1754.5185000000001</v>
      </c>
      <c r="L18" s="111">
        <f>SUM(L6:L17)</f>
        <v>3895.1261999999997</v>
      </c>
    </row>
    <row r="20" spans="2:12" x14ac:dyDescent="0.25">
      <c r="B20" s="192">
        <v>2</v>
      </c>
      <c r="C20" s="192"/>
      <c r="D20" s="192"/>
      <c r="E20" s="192"/>
      <c r="F20" s="192"/>
      <c r="G20" s="192"/>
      <c r="H20" s="192"/>
      <c r="I20" s="192"/>
      <c r="J20" s="192"/>
      <c r="K20" s="192"/>
      <c r="L20" s="192"/>
    </row>
    <row r="21" spans="2:12" x14ac:dyDescent="0.25">
      <c r="D21" s="90"/>
      <c r="E21" s="90"/>
      <c r="F21" s="90"/>
      <c r="G21" s="90"/>
      <c r="H21" s="90"/>
      <c r="I21" s="90"/>
      <c r="J21" s="90"/>
      <c r="K21" s="90"/>
      <c r="L21" s="90"/>
    </row>
  </sheetData>
  <mergeCells count="8">
    <mergeCell ref="B2:L2"/>
    <mergeCell ref="J4:L4"/>
    <mergeCell ref="G4:I4"/>
    <mergeCell ref="D4:F4"/>
    <mergeCell ref="B20:L20"/>
    <mergeCell ref="D3:L3"/>
    <mergeCell ref="C4:C5"/>
    <mergeCell ref="B4:B5"/>
  </mergeCells>
  <pageMargins left="0.39370078740157483" right="0.23622047244094491" top="0.74803149606299213" bottom="0.74803149606299213" header="0.31496062992125984" footer="0.31496062992125984"/>
  <pageSetup scale="8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S21"/>
  <sheetViews>
    <sheetView zoomScaleNormal="100" workbookViewId="0">
      <selection activeCell="B4" sqref="B4:C5"/>
    </sheetView>
  </sheetViews>
  <sheetFormatPr defaultColWidth="9.28515625" defaultRowHeight="15.75" x14ac:dyDescent="0.25"/>
  <cols>
    <col min="1" max="1" width="9.28515625" style="8"/>
    <col min="2" max="2" width="8" style="8" customWidth="1"/>
    <col min="3" max="3" width="48.28515625" style="8" bestFit="1" customWidth="1"/>
    <col min="4" max="9" width="10.28515625" style="8" customWidth="1"/>
    <col min="10" max="10" width="10" style="8" customWidth="1"/>
    <col min="11" max="12" width="11.140625" style="8" customWidth="1"/>
    <col min="13" max="16384" width="9.28515625" style="8"/>
  </cols>
  <sheetData>
    <row r="1" spans="2:19" ht="16.5" thickBot="1" x14ac:dyDescent="0.3"/>
    <row r="2" spans="2:19" ht="21" customHeight="1" x14ac:dyDescent="0.25">
      <c r="B2" s="183" t="s">
        <v>38</v>
      </c>
      <c r="C2" s="184"/>
      <c r="D2" s="184"/>
      <c r="E2" s="184"/>
      <c r="F2" s="184"/>
      <c r="G2" s="184"/>
      <c r="H2" s="184"/>
      <c r="I2" s="184"/>
      <c r="J2" s="184"/>
      <c r="K2" s="184"/>
      <c r="L2" s="185"/>
    </row>
    <row r="3" spans="2:19" ht="18.600000000000001" customHeight="1" x14ac:dyDescent="0.25">
      <c r="B3" s="142" t="s">
        <v>0</v>
      </c>
      <c r="C3" s="143"/>
      <c r="D3" s="206" t="s">
        <v>1</v>
      </c>
      <c r="E3" s="207"/>
      <c r="F3" s="207"/>
      <c r="G3" s="207"/>
      <c r="H3" s="207"/>
      <c r="I3" s="207"/>
      <c r="J3" s="207"/>
      <c r="K3" s="207"/>
      <c r="L3" s="208"/>
    </row>
    <row r="4" spans="2:19" ht="35.450000000000003" customHeight="1" x14ac:dyDescent="0.25">
      <c r="B4" s="196" t="s">
        <v>23</v>
      </c>
      <c r="C4" s="194" t="s">
        <v>2</v>
      </c>
      <c r="D4" s="205" t="s">
        <v>9</v>
      </c>
      <c r="E4" s="205"/>
      <c r="F4" s="205"/>
      <c r="G4" s="201" t="s">
        <v>10</v>
      </c>
      <c r="H4" s="201"/>
      <c r="I4" s="201"/>
      <c r="J4" s="201" t="s">
        <v>11</v>
      </c>
      <c r="K4" s="201"/>
      <c r="L4" s="202"/>
    </row>
    <row r="5" spans="2:19" ht="18" customHeight="1" thickBot="1" x14ac:dyDescent="0.3">
      <c r="B5" s="197"/>
      <c r="C5" s="195"/>
      <c r="D5" s="1">
        <v>2023</v>
      </c>
      <c r="E5" s="1">
        <v>2024</v>
      </c>
      <c r="F5" s="1">
        <v>2025</v>
      </c>
      <c r="G5" s="1">
        <v>2023</v>
      </c>
      <c r="H5" s="1">
        <v>2024</v>
      </c>
      <c r="I5" s="1">
        <v>2025</v>
      </c>
      <c r="J5" s="1">
        <v>2023</v>
      </c>
      <c r="K5" s="1">
        <v>2024</v>
      </c>
      <c r="L5" s="4">
        <v>2025</v>
      </c>
    </row>
    <row r="6" spans="2:19" ht="19.149999999999999" customHeight="1" x14ac:dyDescent="0.25">
      <c r="B6" s="76">
        <v>1</v>
      </c>
      <c r="C6" s="58" t="s">
        <v>32</v>
      </c>
      <c r="D6" s="83">
        <v>8205.41</v>
      </c>
      <c r="E6" s="83">
        <v>10554.713100000001</v>
      </c>
      <c r="F6" s="83">
        <v>16063.73</v>
      </c>
      <c r="G6" s="83">
        <v>1034.46</v>
      </c>
      <c r="H6" s="177">
        <v>1697.14</v>
      </c>
      <c r="I6" s="83">
        <v>2526.31</v>
      </c>
      <c r="J6" s="80">
        <f>D6+G6-1</f>
        <v>9238.869999999999</v>
      </c>
      <c r="K6" s="178">
        <f>E6+H6</f>
        <v>12251.8531</v>
      </c>
      <c r="L6" s="81">
        <f>F6+I6</f>
        <v>18590.04</v>
      </c>
      <c r="M6" s="32"/>
      <c r="N6" s="32"/>
      <c r="O6" s="32"/>
      <c r="P6" s="32"/>
      <c r="Q6" s="32"/>
    </row>
    <row r="7" spans="2:19" ht="19.149999999999999" customHeight="1" x14ac:dyDescent="0.25">
      <c r="B7" s="49">
        <v>2</v>
      </c>
      <c r="C7" s="22" t="s">
        <v>24</v>
      </c>
      <c r="D7" s="7">
        <v>676.01</v>
      </c>
      <c r="E7" s="7">
        <v>794.33</v>
      </c>
      <c r="F7" s="7">
        <v>908.5</v>
      </c>
      <c r="G7" s="7">
        <v>49.47</v>
      </c>
      <c r="H7" s="7">
        <v>68.08</v>
      </c>
      <c r="I7" s="7">
        <v>86.02</v>
      </c>
      <c r="J7" s="24">
        <f>D7+G7</f>
        <v>725.48</v>
      </c>
      <c r="K7" s="24">
        <f>E7+H7</f>
        <v>862.41000000000008</v>
      </c>
      <c r="L7" s="101">
        <f t="shared" ref="L7:L17" si="0">F7+I7</f>
        <v>994.52</v>
      </c>
      <c r="M7" s="32"/>
      <c r="N7" s="32"/>
      <c r="O7" s="32"/>
      <c r="P7" s="32"/>
      <c r="Q7" s="42"/>
      <c r="R7" s="42"/>
      <c r="S7" s="42"/>
    </row>
    <row r="8" spans="2:19" ht="19.149999999999999" customHeight="1" x14ac:dyDescent="0.25">
      <c r="B8" s="49">
        <v>3</v>
      </c>
      <c r="C8" s="22" t="s">
        <v>25</v>
      </c>
      <c r="D8" s="7">
        <v>4161.87</v>
      </c>
      <c r="E8" s="7">
        <v>5486.4034000000001</v>
      </c>
      <c r="F8" s="7">
        <v>6311.7250000000004</v>
      </c>
      <c r="G8" s="7">
        <v>669.58</v>
      </c>
      <c r="H8" s="7">
        <v>798.67060000000004</v>
      </c>
      <c r="I8" s="7">
        <v>911.48910000000001</v>
      </c>
      <c r="J8" s="24">
        <f>D8+G8+1</f>
        <v>4832.45</v>
      </c>
      <c r="K8" s="24">
        <f>E8+H8</f>
        <v>6285.0740000000005</v>
      </c>
      <c r="L8" s="101">
        <f t="shared" si="0"/>
        <v>7223.2141000000001</v>
      </c>
      <c r="M8" s="32"/>
      <c r="N8" s="32"/>
      <c r="O8" s="32"/>
      <c r="P8" s="32"/>
      <c r="Q8" s="42"/>
      <c r="R8" s="42"/>
      <c r="S8" s="42"/>
    </row>
    <row r="9" spans="2:19" ht="19.149999999999999" customHeight="1" x14ac:dyDescent="0.25">
      <c r="B9" s="49">
        <v>4</v>
      </c>
      <c r="C9" s="22" t="s">
        <v>26</v>
      </c>
      <c r="D9" s="86">
        <v>2853.66</v>
      </c>
      <c r="E9" s="86">
        <v>3818.43</v>
      </c>
      <c r="F9" s="86">
        <v>3862.22</v>
      </c>
      <c r="G9" s="86">
        <v>287.91000000000003</v>
      </c>
      <c r="H9" s="86">
        <v>441.82</v>
      </c>
      <c r="I9" s="86">
        <v>467.09</v>
      </c>
      <c r="J9" s="9">
        <f>D9+G9</f>
        <v>3141.5699999999997</v>
      </c>
      <c r="K9" s="24">
        <f>E9+H9</f>
        <v>4260.25</v>
      </c>
      <c r="L9" s="101">
        <f t="shared" si="0"/>
        <v>4329.3099999999995</v>
      </c>
      <c r="M9" s="32"/>
      <c r="N9" s="32"/>
      <c r="O9" s="32"/>
      <c r="P9" s="32"/>
      <c r="Q9" s="42"/>
      <c r="R9" s="42"/>
      <c r="S9" s="42"/>
    </row>
    <row r="10" spans="2:19" ht="19.149999999999999" customHeight="1" x14ac:dyDescent="0.25">
      <c r="B10" s="49">
        <v>5</v>
      </c>
      <c r="C10" s="161" t="s">
        <v>33</v>
      </c>
      <c r="D10" s="15">
        <v>1744.12</v>
      </c>
      <c r="E10" s="15">
        <v>2670.63</v>
      </c>
      <c r="F10" s="14" t="s">
        <v>57</v>
      </c>
      <c r="G10" s="15">
        <v>226.68</v>
      </c>
      <c r="H10" s="15">
        <v>342.65</v>
      </c>
      <c r="I10" s="14" t="s">
        <v>57</v>
      </c>
      <c r="J10" s="29">
        <f>D10+G10</f>
        <v>1970.8</v>
      </c>
      <c r="K10" s="24">
        <f>E10+H10+1</f>
        <v>3014.28</v>
      </c>
      <c r="L10" s="166" t="s">
        <v>57</v>
      </c>
      <c r="M10" s="32"/>
      <c r="N10" s="32"/>
      <c r="O10" s="32"/>
      <c r="P10" s="32"/>
      <c r="Q10" s="42"/>
      <c r="R10" s="42"/>
      <c r="S10" s="42"/>
    </row>
    <row r="11" spans="2:19" ht="19.149999999999999" customHeight="1" x14ac:dyDescent="0.25">
      <c r="B11" s="49">
        <v>6</v>
      </c>
      <c r="C11" s="22" t="s">
        <v>27</v>
      </c>
      <c r="D11" s="15">
        <v>3075.01</v>
      </c>
      <c r="E11" s="15">
        <v>4013.81</v>
      </c>
      <c r="F11" s="15">
        <v>4709.79</v>
      </c>
      <c r="G11" s="15">
        <v>624.86</v>
      </c>
      <c r="H11" s="15">
        <v>670.24</v>
      </c>
      <c r="I11" s="15">
        <v>775.86</v>
      </c>
      <c r="J11" s="23">
        <f>D11+G11</f>
        <v>3699.8700000000003</v>
      </c>
      <c r="K11" s="24">
        <f>E11+H11</f>
        <v>4684.05</v>
      </c>
      <c r="L11" s="101">
        <f>F11+I11</f>
        <v>5485.65</v>
      </c>
      <c r="M11" s="32"/>
      <c r="N11" s="32"/>
      <c r="O11" s="32"/>
      <c r="P11" s="32"/>
      <c r="Q11" s="42"/>
      <c r="R11" s="42"/>
      <c r="S11" s="42"/>
    </row>
    <row r="12" spans="2:19" ht="19.5" customHeight="1" x14ac:dyDescent="0.25">
      <c r="B12" s="49">
        <v>7</v>
      </c>
      <c r="C12" s="47" t="s">
        <v>59</v>
      </c>
      <c r="D12" s="15">
        <v>297.69</v>
      </c>
      <c r="E12" s="15">
        <v>195.83</v>
      </c>
      <c r="F12" s="15">
        <v>409.23</v>
      </c>
      <c r="G12" s="15">
        <v>37.590000000000003</v>
      </c>
      <c r="H12" s="179">
        <v>55.53</v>
      </c>
      <c r="I12" s="15">
        <v>194.48</v>
      </c>
      <c r="J12" s="23">
        <f>D12+G12+1</f>
        <v>336.28</v>
      </c>
      <c r="K12" s="180">
        <f t="shared" ref="K12:K17" si="1">E12+H12</f>
        <v>251.36</v>
      </c>
      <c r="L12" s="101">
        <f t="shared" si="0"/>
        <v>603.71</v>
      </c>
      <c r="M12" s="32"/>
      <c r="N12" s="32"/>
      <c r="O12" s="32"/>
      <c r="P12" s="32"/>
      <c r="Q12" s="32"/>
    </row>
    <row r="13" spans="2:19" ht="19.149999999999999" customHeight="1" x14ac:dyDescent="0.25">
      <c r="B13" s="49">
        <v>8</v>
      </c>
      <c r="C13" s="22" t="s">
        <v>29</v>
      </c>
      <c r="D13" s="15">
        <v>1183.68</v>
      </c>
      <c r="E13" s="15">
        <v>1588.7</v>
      </c>
      <c r="F13" s="15">
        <v>1953.75</v>
      </c>
      <c r="G13" s="15">
        <v>97.42</v>
      </c>
      <c r="H13" s="15">
        <v>219.39</v>
      </c>
      <c r="I13" s="15">
        <v>217.25</v>
      </c>
      <c r="J13" s="23">
        <f>D13+G13</f>
        <v>1281.1000000000001</v>
      </c>
      <c r="K13" s="24">
        <f t="shared" si="1"/>
        <v>1808.0900000000001</v>
      </c>
      <c r="L13" s="101">
        <f t="shared" si="0"/>
        <v>2171</v>
      </c>
      <c r="M13" s="32"/>
      <c r="N13" s="32"/>
      <c r="O13" s="32"/>
      <c r="P13" s="32"/>
      <c r="Q13" s="32"/>
    </row>
    <row r="14" spans="2:19" ht="19.149999999999999" customHeight="1" x14ac:dyDescent="0.25">
      <c r="B14" s="49">
        <v>9</v>
      </c>
      <c r="C14" s="22" t="s">
        <v>30</v>
      </c>
      <c r="D14" s="15">
        <v>4165</v>
      </c>
      <c r="E14" s="15">
        <v>5677.16</v>
      </c>
      <c r="F14" s="15">
        <v>6354.39</v>
      </c>
      <c r="G14" s="15">
        <v>589.19000000000005</v>
      </c>
      <c r="H14" s="15">
        <v>786.75</v>
      </c>
      <c r="I14" s="15">
        <v>846.2</v>
      </c>
      <c r="J14" s="23">
        <f>D14+G14</f>
        <v>4754.1900000000005</v>
      </c>
      <c r="K14" s="24">
        <f t="shared" si="1"/>
        <v>6463.91</v>
      </c>
      <c r="L14" s="101">
        <f t="shared" si="0"/>
        <v>7200.59</v>
      </c>
      <c r="M14" s="32"/>
      <c r="N14" s="32"/>
      <c r="O14" s="32"/>
      <c r="P14" s="32"/>
      <c r="Q14" s="32"/>
    </row>
    <row r="15" spans="2:19" ht="19.149999999999999" customHeight="1" x14ac:dyDescent="0.25">
      <c r="B15" s="49">
        <v>10</v>
      </c>
      <c r="C15" s="22" t="s">
        <v>28</v>
      </c>
      <c r="D15" s="15">
        <v>2504.9699999999998</v>
      </c>
      <c r="E15" s="15">
        <v>3178.41</v>
      </c>
      <c r="F15" s="15">
        <v>3764.9259999999999</v>
      </c>
      <c r="G15" s="15">
        <v>299.3</v>
      </c>
      <c r="H15" s="15">
        <v>400.34</v>
      </c>
      <c r="I15" s="15">
        <v>599.83000000000004</v>
      </c>
      <c r="J15" s="23">
        <f>D15+G15</f>
        <v>2804.27</v>
      </c>
      <c r="K15" s="24">
        <f t="shared" si="1"/>
        <v>3578.75</v>
      </c>
      <c r="L15" s="101">
        <f t="shared" si="0"/>
        <v>4364.7560000000003</v>
      </c>
      <c r="M15" s="32"/>
      <c r="N15" s="32"/>
      <c r="O15" s="32"/>
      <c r="P15" s="32"/>
      <c r="Q15" s="32"/>
    </row>
    <row r="16" spans="2:19" s="25" customFormat="1" ht="19.149999999999999" customHeight="1" x14ac:dyDescent="0.25">
      <c r="B16" s="49">
        <v>11</v>
      </c>
      <c r="C16" s="33" t="s">
        <v>47</v>
      </c>
      <c r="D16" s="88">
        <v>203.62</v>
      </c>
      <c r="E16" s="88">
        <v>280.67</v>
      </c>
      <c r="F16" s="88">
        <v>374.81</v>
      </c>
      <c r="G16" s="88">
        <v>15.1</v>
      </c>
      <c r="H16" s="88">
        <v>28.71</v>
      </c>
      <c r="I16" s="88">
        <v>48.07</v>
      </c>
      <c r="J16" s="34">
        <f>D16+G16</f>
        <v>218.72</v>
      </c>
      <c r="K16" s="29">
        <f t="shared" si="1"/>
        <v>309.38</v>
      </c>
      <c r="L16" s="104">
        <f t="shared" si="0"/>
        <v>422.88</v>
      </c>
      <c r="M16" s="89"/>
      <c r="N16" s="89"/>
      <c r="O16" s="89"/>
      <c r="P16" s="89"/>
      <c r="Q16" s="89"/>
    </row>
    <row r="17" spans="2:17" s="25" customFormat="1" ht="19.149999999999999" customHeight="1" thickBot="1" x14ac:dyDescent="0.3">
      <c r="B17" s="49">
        <v>12</v>
      </c>
      <c r="C17" s="127" t="s">
        <v>48</v>
      </c>
      <c r="D17" s="137">
        <v>734.7</v>
      </c>
      <c r="E17" s="137">
        <v>1388</v>
      </c>
      <c r="F17" s="137">
        <v>2068.5700000000002</v>
      </c>
      <c r="G17" s="137">
        <v>68.61</v>
      </c>
      <c r="H17" s="137">
        <v>244</v>
      </c>
      <c r="I17" s="137">
        <v>768.52</v>
      </c>
      <c r="J17" s="128">
        <f>D17+G17</f>
        <v>803.31000000000006</v>
      </c>
      <c r="K17" s="141">
        <f t="shared" si="1"/>
        <v>1632</v>
      </c>
      <c r="L17" s="152">
        <f t="shared" si="0"/>
        <v>2837.09</v>
      </c>
      <c r="M17" s="32"/>
      <c r="N17" s="32"/>
      <c r="O17" s="32"/>
      <c r="P17" s="32"/>
      <c r="Q17" s="32"/>
    </row>
    <row r="18" spans="2:17" ht="19.149999999999999" customHeight="1" thickBot="1" x14ac:dyDescent="0.3">
      <c r="B18" s="46"/>
      <c r="C18" s="30" t="s">
        <v>50</v>
      </c>
      <c r="D18" s="10">
        <f t="shared" ref="D18:K18" si="2">SUM(D6:D17)</f>
        <v>29805.74</v>
      </c>
      <c r="E18" s="10">
        <f t="shared" si="2"/>
        <v>39647.086500000005</v>
      </c>
      <c r="F18" s="10">
        <f>SUM(F6:F17)</f>
        <v>46781.641000000003</v>
      </c>
      <c r="G18" s="10">
        <f t="shared" si="2"/>
        <v>4000.170000000001</v>
      </c>
      <c r="H18" s="10">
        <f t="shared" si="2"/>
        <v>5753.3206000000009</v>
      </c>
      <c r="I18" s="10">
        <f>SUM(I6:I17)</f>
        <v>7441.1190999999981</v>
      </c>
      <c r="J18" s="48">
        <f t="shared" si="2"/>
        <v>33806.909999999989</v>
      </c>
      <c r="K18" s="48">
        <f t="shared" si="2"/>
        <v>45401.407100000004</v>
      </c>
      <c r="L18" s="111">
        <f>SUM(L6:L17)</f>
        <v>54222.7601</v>
      </c>
      <c r="M18" s="32"/>
      <c r="N18" s="37"/>
      <c r="O18" s="37"/>
      <c r="P18" s="37"/>
      <c r="Q18" s="32"/>
    </row>
    <row r="20" spans="2:17" x14ac:dyDescent="0.25">
      <c r="B20" s="192">
        <v>3</v>
      </c>
      <c r="C20" s="192"/>
      <c r="D20" s="192"/>
      <c r="E20" s="192"/>
      <c r="F20" s="192"/>
      <c r="G20" s="192"/>
      <c r="H20" s="192"/>
      <c r="I20" s="192"/>
      <c r="J20" s="192"/>
      <c r="K20" s="192"/>
      <c r="L20" s="192"/>
    </row>
    <row r="21" spans="2:17" x14ac:dyDescent="0.25">
      <c r="D21" s="6"/>
      <c r="E21" s="6"/>
      <c r="F21" s="6"/>
      <c r="G21" s="6"/>
      <c r="H21" s="6"/>
      <c r="I21" s="6"/>
      <c r="J21" s="6"/>
      <c r="K21" s="6"/>
      <c r="L21" s="6"/>
    </row>
  </sheetData>
  <mergeCells count="8">
    <mergeCell ref="B20:L20"/>
    <mergeCell ref="J4:L4"/>
    <mergeCell ref="G4:I4"/>
    <mergeCell ref="D4:F4"/>
    <mergeCell ref="B2:L2"/>
    <mergeCell ref="D3:L3"/>
    <mergeCell ref="B4:B5"/>
    <mergeCell ref="C4:C5"/>
  </mergeCells>
  <printOptions horizontalCentered="1"/>
  <pageMargins left="0.23622047244094491" right="0.23622047244094491" top="0.35433070866141736" bottom="0.35433070866141736" header="0.31496062992125984" footer="0.31496062992125984"/>
  <pageSetup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R22"/>
  <sheetViews>
    <sheetView zoomScaleNormal="100" workbookViewId="0">
      <selection activeCell="C12" sqref="C12"/>
    </sheetView>
  </sheetViews>
  <sheetFormatPr defaultColWidth="9.28515625" defaultRowHeight="15.75" x14ac:dyDescent="0.25"/>
  <cols>
    <col min="1" max="1" width="9.7109375" style="8" customWidth="1"/>
    <col min="2" max="2" width="7.42578125" style="8" customWidth="1"/>
    <col min="3" max="3" width="48.28515625" style="8" bestFit="1" customWidth="1"/>
    <col min="4" max="10" width="10.5703125" style="8" customWidth="1"/>
    <col min="11" max="12" width="10.7109375" style="8" customWidth="1"/>
    <col min="13" max="16384" width="9.28515625" style="8"/>
  </cols>
  <sheetData>
    <row r="1" spans="2:18" ht="16.5" thickBot="1" x14ac:dyDescent="0.3"/>
    <row r="2" spans="2:18" ht="19.899999999999999" customHeight="1" x14ac:dyDescent="0.25">
      <c r="B2" s="210" t="s">
        <v>42</v>
      </c>
      <c r="C2" s="211"/>
      <c r="D2" s="211"/>
      <c r="E2" s="211"/>
      <c r="F2" s="211"/>
      <c r="G2" s="211"/>
      <c r="H2" s="211"/>
      <c r="I2" s="211"/>
      <c r="J2" s="211"/>
      <c r="K2" s="211"/>
      <c r="L2" s="212"/>
    </row>
    <row r="3" spans="2:18" ht="17.25" customHeight="1" x14ac:dyDescent="0.25">
      <c r="B3" s="122" t="s">
        <v>41</v>
      </c>
      <c r="C3" s="92"/>
      <c r="D3" s="186" t="s">
        <v>1</v>
      </c>
      <c r="E3" s="186"/>
      <c r="F3" s="186"/>
      <c r="G3" s="186"/>
      <c r="H3" s="186"/>
      <c r="I3" s="186"/>
      <c r="J3" s="186"/>
      <c r="K3" s="186"/>
      <c r="L3" s="187"/>
    </row>
    <row r="4" spans="2:18" ht="33.6" customHeight="1" x14ac:dyDescent="0.25">
      <c r="B4" s="196" t="s">
        <v>23</v>
      </c>
      <c r="C4" s="194" t="s">
        <v>2</v>
      </c>
      <c r="D4" s="205" t="s">
        <v>12</v>
      </c>
      <c r="E4" s="205"/>
      <c r="F4" s="205"/>
      <c r="G4" s="205" t="s">
        <v>13</v>
      </c>
      <c r="H4" s="205"/>
      <c r="I4" s="205"/>
      <c r="J4" s="205" t="s">
        <v>14</v>
      </c>
      <c r="K4" s="205"/>
      <c r="L4" s="214"/>
    </row>
    <row r="5" spans="2:18" ht="18.600000000000001" customHeight="1" thickBot="1" x14ac:dyDescent="0.3">
      <c r="B5" s="197"/>
      <c r="C5" s="195"/>
      <c r="D5" s="2">
        <v>2023</v>
      </c>
      <c r="E5" s="2">
        <v>2024</v>
      </c>
      <c r="F5" s="2">
        <v>2025</v>
      </c>
      <c r="G5" s="2">
        <v>2023</v>
      </c>
      <c r="H5" s="2">
        <v>2024</v>
      </c>
      <c r="I5" s="2">
        <v>2025</v>
      </c>
      <c r="J5" s="2">
        <v>2023</v>
      </c>
      <c r="K5" s="2">
        <v>2024</v>
      </c>
      <c r="L5" s="3">
        <v>2025</v>
      </c>
    </row>
    <row r="6" spans="2:18" ht="19.899999999999999" customHeight="1" x14ac:dyDescent="0.25">
      <c r="B6" s="76">
        <v>1</v>
      </c>
      <c r="C6" s="58" t="s">
        <v>32</v>
      </c>
      <c r="D6" s="79">
        <v>3780.12</v>
      </c>
      <c r="E6" s="79">
        <v>5397.6292999999996</v>
      </c>
      <c r="F6" s="79">
        <v>8052.1494000000002</v>
      </c>
      <c r="G6" s="79">
        <v>3440</v>
      </c>
      <c r="H6" s="79">
        <v>4388.0021999999999</v>
      </c>
      <c r="I6" s="79">
        <v>5957.22</v>
      </c>
      <c r="J6" s="80">
        <f>D6+G6</f>
        <v>7220.12</v>
      </c>
      <c r="K6" s="80">
        <f>E6+H6</f>
        <v>9785.6314999999995</v>
      </c>
      <c r="L6" s="81">
        <f>F6+I6</f>
        <v>14009.3694</v>
      </c>
      <c r="M6" s="32"/>
      <c r="N6" s="32"/>
      <c r="O6" s="32"/>
      <c r="P6" s="32"/>
      <c r="Q6" s="32"/>
    </row>
    <row r="7" spans="2:18" ht="19.899999999999999" customHeight="1" x14ac:dyDescent="0.25">
      <c r="B7" s="49">
        <v>2</v>
      </c>
      <c r="C7" s="22" t="s">
        <v>24</v>
      </c>
      <c r="D7" s="7">
        <v>354.02</v>
      </c>
      <c r="E7" s="7">
        <v>449.18</v>
      </c>
      <c r="F7" s="7">
        <v>498.3</v>
      </c>
      <c r="G7" s="7">
        <v>222.75</v>
      </c>
      <c r="H7" s="7">
        <v>258.33</v>
      </c>
      <c r="I7" s="7">
        <v>310.79000000000002</v>
      </c>
      <c r="J7" s="24">
        <f t="shared" ref="J7:J17" si="0">D7+G7</f>
        <v>576.77</v>
      </c>
      <c r="K7" s="24">
        <f>E7+H7</f>
        <v>707.51</v>
      </c>
      <c r="L7" s="39">
        <f t="shared" ref="L7:L17" si="1">F7+I7</f>
        <v>809.09</v>
      </c>
      <c r="M7" s="32"/>
      <c r="N7" s="32"/>
      <c r="O7" s="32"/>
      <c r="P7" s="32"/>
      <c r="Q7" s="32"/>
      <c r="R7" s="42"/>
    </row>
    <row r="8" spans="2:18" ht="19.899999999999999" customHeight="1" x14ac:dyDescent="0.25">
      <c r="B8" s="49">
        <v>3</v>
      </c>
      <c r="C8" s="22" t="s">
        <v>25</v>
      </c>
      <c r="D8" s="7">
        <v>1617.15</v>
      </c>
      <c r="E8" s="7">
        <v>2406.6428000000001</v>
      </c>
      <c r="F8" s="7">
        <v>3060.11</v>
      </c>
      <c r="G8" s="7">
        <v>2038.3</v>
      </c>
      <c r="H8" s="7">
        <v>2501.0668000000001</v>
      </c>
      <c r="I8" s="7">
        <v>2828.83</v>
      </c>
      <c r="J8" s="24">
        <f t="shared" si="0"/>
        <v>3655.45</v>
      </c>
      <c r="K8" s="24">
        <f>E8+H8</f>
        <v>4907.7096000000001</v>
      </c>
      <c r="L8" s="39">
        <f t="shared" si="1"/>
        <v>5888.9400000000005</v>
      </c>
      <c r="M8" s="32"/>
      <c r="N8" s="32"/>
      <c r="O8" s="32"/>
      <c r="P8" s="32"/>
      <c r="Q8" s="32"/>
      <c r="R8" s="42"/>
    </row>
    <row r="9" spans="2:18" ht="19.899999999999999" customHeight="1" x14ac:dyDescent="0.25">
      <c r="B9" s="49">
        <v>4</v>
      </c>
      <c r="C9" s="22" t="s">
        <v>26</v>
      </c>
      <c r="D9" s="7">
        <v>1017.32</v>
      </c>
      <c r="E9" s="7">
        <v>1448.73</v>
      </c>
      <c r="F9" s="7">
        <v>1810.69</v>
      </c>
      <c r="G9" s="7">
        <v>1230.54</v>
      </c>
      <c r="H9" s="7">
        <v>1648.83</v>
      </c>
      <c r="I9" s="7">
        <v>1903.51</v>
      </c>
      <c r="J9" s="24">
        <f t="shared" si="0"/>
        <v>2247.86</v>
      </c>
      <c r="K9" s="24">
        <f>E9+H9</f>
        <v>3097.56</v>
      </c>
      <c r="L9" s="39">
        <f t="shared" si="1"/>
        <v>3714.2</v>
      </c>
      <c r="M9" s="32"/>
      <c r="N9" s="32"/>
      <c r="O9" s="32"/>
      <c r="P9" s="42"/>
      <c r="Q9" s="42"/>
      <c r="R9" s="42"/>
    </row>
    <row r="10" spans="2:18" ht="19.149999999999999" customHeight="1" x14ac:dyDescent="0.25">
      <c r="B10" s="49">
        <v>5</v>
      </c>
      <c r="C10" s="161" t="s">
        <v>33</v>
      </c>
      <c r="D10" s="7">
        <v>653.67999999999995</v>
      </c>
      <c r="E10" s="7">
        <v>1023.44</v>
      </c>
      <c r="F10" s="7" t="s">
        <v>57</v>
      </c>
      <c r="G10" s="7">
        <v>874.05</v>
      </c>
      <c r="H10" s="7">
        <v>1283.0899999999999</v>
      </c>
      <c r="I10" s="7" t="s">
        <v>57</v>
      </c>
      <c r="J10" s="24">
        <f t="shared" si="0"/>
        <v>1527.73</v>
      </c>
      <c r="K10" s="24">
        <f>E10+H10-1</f>
        <v>2305.5299999999997</v>
      </c>
      <c r="L10" s="167" t="s">
        <v>57</v>
      </c>
      <c r="M10" s="32"/>
      <c r="N10" s="32"/>
      <c r="O10" s="32"/>
      <c r="P10" s="32"/>
      <c r="Q10" s="32"/>
      <c r="R10" s="32"/>
    </row>
    <row r="11" spans="2:18" ht="19.899999999999999" customHeight="1" x14ac:dyDescent="0.25">
      <c r="B11" s="49">
        <v>6</v>
      </c>
      <c r="C11" s="22" t="s">
        <v>27</v>
      </c>
      <c r="D11" s="7">
        <v>1414.99</v>
      </c>
      <c r="E11" s="7">
        <v>1885.9047</v>
      </c>
      <c r="F11" s="7">
        <v>2316.66</v>
      </c>
      <c r="G11" s="7">
        <v>1284.51</v>
      </c>
      <c r="H11" s="7">
        <v>1604.8397</v>
      </c>
      <c r="I11" s="7">
        <v>1942.63</v>
      </c>
      <c r="J11" s="9">
        <f t="shared" si="0"/>
        <v>2699.5</v>
      </c>
      <c r="K11" s="9">
        <f t="shared" ref="K11:K17" si="2">E11+H11</f>
        <v>3490.7444</v>
      </c>
      <c r="L11" s="101">
        <f>F11+I11</f>
        <v>4259.29</v>
      </c>
      <c r="M11" s="32"/>
      <c r="N11" s="32"/>
      <c r="O11" s="32"/>
      <c r="P11" s="32"/>
      <c r="Q11" s="32"/>
    </row>
    <row r="12" spans="2:18" ht="18.75" customHeight="1" x14ac:dyDescent="0.25">
      <c r="B12" s="49">
        <v>7</v>
      </c>
      <c r="C12" s="47" t="s">
        <v>59</v>
      </c>
      <c r="D12" s="7">
        <v>141.33000000000001</v>
      </c>
      <c r="E12" s="7">
        <v>124.25</v>
      </c>
      <c r="F12" s="7">
        <v>200.53</v>
      </c>
      <c r="G12" s="7">
        <v>177.89</v>
      </c>
      <c r="H12" s="7">
        <v>174.59</v>
      </c>
      <c r="I12" s="7">
        <v>481.15</v>
      </c>
      <c r="J12" s="9">
        <f t="shared" si="0"/>
        <v>319.22000000000003</v>
      </c>
      <c r="K12" s="9">
        <f t="shared" si="2"/>
        <v>298.84000000000003</v>
      </c>
      <c r="L12" s="101">
        <f t="shared" si="1"/>
        <v>681.68</v>
      </c>
      <c r="M12" s="32"/>
      <c r="N12" s="32"/>
      <c r="O12" s="32"/>
      <c r="P12" s="32"/>
      <c r="Q12" s="32"/>
    </row>
    <row r="13" spans="2:18" ht="19.899999999999999" customHeight="1" x14ac:dyDescent="0.25">
      <c r="B13" s="49">
        <v>8</v>
      </c>
      <c r="C13" s="22" t="s">
        <v>29</v>
      </c>
      <c r="D13" s="7">
        <v>437.11</v>
      </c>
      <c r="E13" s="7">
        <v>626.47</v>
      </c>
      <c r="F13" s="7">
        <v>847.61</v>
      </c>
      <c r="G13" s="14">
        <v>506.53</v>
      </c>
      <c r="H13" s="14">
        <v>727.71</v>
      </c>
      <c r="I13" s="14">
        <v>934.19</v>
      </c>
      <c r="J13" s="9">
        <f t="shared" si="0"/>
        <v>943.64</v>
      </c>
      <c r="K13" s="9">
        <f t="shared" si="2"/>
        <v>1354.18</v>
      </c>
      <c r="L13" s="101">
        <f t="shared" si="1"/>
        <v>1781.8000000000002</v>
      </c>
      <c r="M13" s="32"/>
      <c r="N13" s="32"/>
      <c r="O13" s="32"/>
      <c r="P13" s="32"/>
      <c r="Q13" s="32"/>
    </row>
    <row r="14" spans="2:18" ht="19.899999999999999" customHeight="1" x14ac:dyDescent="0.25">
      <c r="B14" s="49">
        <v>9</v>
      </c>
      <c r="C14" s="22" t="s">
        <v>30</v>
      </c>
      <c r="D14" s="7">
        <v>1467.09</v>
      </c>
      <c r="E14" s="7">
        <v>2267.6999999999998</v>
      </c>
      <c r="F14" s="7">
        <v>2718.12</v>
      </c>
      <c r="G14" s="14">
        <v>1802.06</v>
      </c>
      <c r="H14" s="14">
        <v>2279.1</v>
      </c>
      <c r="I14" s="14">
        <v>2793.24</v>
      </c>
      <c r="J14" s="9">
        <f t="shared" si="0"/>
        <v>3269.1499999999996</v>
      </c>
      <c r="K14" s="9">
        <f t="shared" si="2"/>
        <v>4546.7999999999993</v>
      </c>
      <c r="L14" s="101">
        <f t="shared" si="1"/>
        <v>5511.36</v>
      </c>
      <c r="M14" s="32"/>
      <c r="N14" s="32"/>
      <c r="O14" s="32"/>
      <c r="P14" s="32"/>
      <c r="Q14" s="32"/>
    </row>
    <row r="15" spans="2:18" ht="19.899999999999999" customHeight="1" x14ac:dyDescent="0.25">
      <c r="B15" s="49">
        <v>10</v>
      </c>
      <c r="C15" s="22" t="s">
        <v>28</v>
      </c>
      <c r="D15" s="7">
        <v>975.94</v>
      </c>
      <c r="E15" s="7">
        <v>1292.5999999999999</v>
      </c>
      <c r="F15" s="7">
        <v>1742.06</v>
      </c>
      <c r="G15" s="7">
        <v>990.01</v>
      </c>
      <c r="H15" s="7">
        <v>1288.8699999999999</v>
      </c>
      <c r="I15" s="7">
        <v>1615.76</v>
      </c>
      <c r="J15" s="9">
        <f t="shared" si="0"/>
        <v>1965.95</v>
      </c>
      <c r="K15" s="9">
        <f t="shared" si="2"/>
        <v>2581.4699999999998</v>
      </c>
      <c r="L15" s="101">
        <f t="shared" si="1"/>
        <v>3357.8199999999997</v>
      </c>
      <c r="M15" s="32"/>
      <c r="N15" s="32"/>
      <c r="O15" s="32"/>
      <c r="P15" s="32"/>
      <c r="Q15" s="32"/>
    </row>
    <row r="16" spans="2:18" s="25" customFormat="1" ht="19.899999999999999" customHeight="1" x14ac:dyDescent="0.25">
      <c r="B16" s="49">
        <v>11</v>
      </c>
      <c r="C16" s="33" t="s">
        <v>47</v>
      </c>
      <c r="D16" s="88">
        <v>106.42</v>
      </c>
      <c r="E16" s="88">
        <v>144.66</v>
      </c>
      <c r="F16" s="88">
        <v>207.69</v>
      </c>
      <c r="G16" s="88">
        <v>105.29</v>
      </c>
      <c r="H16" s="88">
        <v>146.16</v>
      </c>
      <c r="I16" s="88">
        <v>194.28</v>
      </c>
      <c r="J16" s="34">
        <f t="shared" si="0"/>
        <v>211.71</v>
      </c>
      <c r="K16" s="34">
        <f t="shared" si="2"/>
        <v>290.82</v>
      </c>
      <c r="L16" s="120">
        <f t="shared" si="1"/>
        <v>401.97</v>
      </c>
      <c r="M16" s="89"/>
      <c r="N16" s="89"/>
      <c r="O16" s="89"/>
      <c r="P16" s="89"/>
      <c r="Q16" s="89"/>
    </row>
    <row r="17" spans="2:17" ht="19.899999999999999" customHeight="1" thickBot="1" x14ac:dyDescent="0.3">
      <c r="B17" s="49">
        <v>12</v>
      </c>
      <c r="C17" s="64" t="s">
        <v>48</v>
      </c>
      <c r="D17" s="82">
        <v>174.91</v>
      </c>
      <c r="E17" s="82">
        <v>407</v>
      </c>
      <c r="F17" s="82">
        <v>881.68</v>
      </c>
      <c r="G17" s="82">
        <v>476.6</v>
      </c>
      <c r="H17" s="82">
        <v>808</v>
      </c>
      <c r="I17" s="82">
        <v>1227.44</v>
      </c>
      <c r="J17" s="144">
        <f t="shared" si="0"/>
        <v>651.51</v>
      </c>
      <c r="K17" s="144">
        <f t="shared" si="2"/>
        <v>1215</v>
      </c>
      <c r="L17" s="123">
        <f t="shared" si="1"/>
        <v>2109.12</v>
      </c>
      <c r="M17" s="32"/>
      <c r="N17" s="32"/>
      <c r="O17" s="32"/>
      <c r="P17" s="32"/>
      <c r="Q17" s="32"/>
    </row>
    <row r="18" spans="2:17" ht="19.899999999999999" customHeight="1" thickBot="1" x14ac:dyDescent="0.3">
      <c r="B18" s="46"/>
      <c r="C18" s="30" t="s">
        <v>50</v>
      </c>
      <c r="D18" s="10">
        <f>SUM(D6:D17)</f>
        <v>12140.08</v>
      </c>
      <c r="E18" s="10">
        <f t="shared" ref="E18:K18" si="3">SUM(E6:E17)</f>
        <v>17474.206799999996</v>
      </c>
      <c r="F18" s="10">
        <f>SUM(F6:F17)</f>
        <v>22335.599399999999</v>
      </c>
      <c r="G18" s="48">
        <f t="shared" si="3"/>
        <v>13148.53</v>
      </c>
      <c r="H18" s="48">
        <f t="shared" si="3"/>
        <v>17108.5887</v>
      </c>
      <c r="I18" s="48">
        <f>SUM(I6:I17)</f>
        <v>20189.039999999994</v>
      </c>
      <c r="J18" s="48">
        <f t="shared" si="3"/>
        <v>25288.61</v>
      </c>
      <c r="K18" s="48">
        <f t="shared" si="3"/>
        <v>34581.7955</v>
      </c>
      <c r="L18" s="40">
        <f>SUM(L6:L17)</f>
        <v>42524.639400000007</v>
      </c>
      <c r="M18" s="32"/>
      <c r="N18" s="37"/>
      <c r="O18" s="37"/>
      <c r="P18" s="32"/>
      <c r="Q18" s="32"/>
    </row>
    <row r="20" spans="2:17" ht="16.5" x14ac:dyDescent="0.25">
      <c r="B20" s="213" t="s">
        <v>60</v>
      </c>
      <c r="C20" s="213"/>
      <c r="D20" s="213"/>
      <c r="E20" s="213"/>
      <c r="F20" s="213"/>
      <c r="G20" s="213"/>
      <c r="H20" s="213"/>
      <c r="I20" s="213"/>
      <c r="J20" s="213"/>
      <c r="K20" s="124"/>
      <c r="L20" s="124"/>
    </row>
    <row r="21" spans="2:17" ht="16.5" x14ac:dyDescent="0.25">
      <c r="B21" s="209">
        <v>4</v>
      </c>
      <c r="C21" s="209"/>
      <c r="D21" s="209"/>
      <c r="E21" s="209"/>
      <c r="F21" s="209"/>
      <c r="G21" s="209"/>
      <c r="H21" s="209"/>
      <c r="I21" s="209"/>
      <c r="J21" s="209"/>
      <c r="K21" s="209"/>
      <c r="L21" s="209"/>
    </row>
    <row r="22" spans="2:17" x14ac:dyDescent="0.25">
      <c r="G22" s="6"/>
      <c r="H22" s="6"/>
      <c r="I22" s="6"/>
      <c r="J22" s="6"/>
      <c r="K22" s="6"/>
      <c r="L22" s="6"/>
    </row>
  </sheetData>
  <mergeCells count="9">
    <mergeCell ref="B21:L21"/>
    <mergeCell ref="D3:L3"/>
    <mergeCell ref="B2:L2"/>
    <mergeCell ref="B20:J20"/>
    <mergeCell ref="J4:L4"/>
    <mergeCell ref="D4:F4"/>
    <mergeCell ref="G4:I4"/>
    <mergeCell ref="B4:B5"/>
    <mergeCell ref="C4:C5"/>
  </mergeCells>
  <printOptions horizontalCentered="1"/>
  <pageMargins left="0.23622047244094491" right="0.23622047244094491" top="0.35433070866141736" bottom="0.35433070866141736" header="0.31496062992125984" footer="0.31496062992125984"/>
  <pageSetup scale="8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Q21"/>
  <sheetViews>
    <sheetView zoomScaleNormal="100" workbookViewId="0">
      <selection activeCell="B4" sqref="B4:C5"/>
    </sheetView>
  </sheetViews>
  <sheetFormatPr defaultColWidth="9.28515625" defaultRowHeight="15.75" x14ac:dyDescent="0.25"/>
  <cols>
    <col min="1" max="1" width="9.28515625" style="8"/>
    <col min="2" max="2" width="6.7109375" style="8" customWidth="1"/>
    <col min="3" max="3" width="47.140625" style="8" customWidth="1"/>
    <col min="4" max="4" width="10.140625" style="8" customWidth="1"/>
    <col min="5" max="6" width="10.42578125" style="8" customWidth="1"/>
    <col min="7" max="7" width="10.5703125" style="8" customWidth="1"/>
    <col min="8" max="9" width="10.28515625" style="8" customWidth="1"/>
    <col min="10" max="10" width="10.5703125" style="8" customWidth="1"/>
    <col min="11" max="12" width="10.7109375" style="8" customWidth="1"/>
    <col min="13" max="13" width="8.140625" style="8" customWidth="1"/>
    <col min="14" max="14" width="4.28515625" style="8" customWidth="1"/>
    <col min="15" max="15" width="7.85546875" style="8" customWidth="1"/>
    <col min="16" max="16" width="7.42578125" style="8" customWidth="1"/>
    <col min="17" max="17" width="8.140625" style="8" customWidth="1"/>
    <col min="18" max="16384" width="9.28515625" style="8"/>
  </cols>
  <sheetData>
    <row r="1" spans="2:17" ht="16.5" thickBot="1" x14ac:dyDescent="0.3"/>
    <row r="2" spans="2:17" ht="20.25" x14ac:dyDescent="0.25">
      <c r="B2" s="183" t="s">
        <v>39</v>
      </c>
      <c r="C2" s="184"/>
      <c r="D2" s="184"/>
      <c r="E2" s="184"/>
      <c r="F2" s="184"/>
      <c r="G2" s="184"/>
      <c r="H2" s="184"/>
      <c r="I2" s="184"/>
      <c r="J2" s="184"/>
      <c r="K2" s="184"/>
      <c r="L2" s="185"/>
    </row>
    <row r="3" spans="2:17" ht="17.25" customHeight="1" x14ac:dyDescent="0.25">
      <c r="B3" s="217" t="s">
        <v>0</v>
      </c>
      <c r="C3" s="218"/>
      <c r="D3" s="219" t="s">
        <v>1</v>
      </c>
      <c r="E3" s="219"/>
      <c r="F3" s="219"/>
      <c r="G3" s="219"/>
      <c r="H3" s="219"/>
      <c r="I3" s="219"/>
      <c r="J3" s="219"/>
      <c r="K3" s="219"/>
      <c r="L3" s="220"/>
    </row>
    <row r="4" spans="2:17" s="19" customFormat="1" ht="31.9" customHeight="1" x14ac:dyDescent="0.25">
      <c r="B4" s="196" t="s">
        <v>23</v>
      </c>
      <c r="C4" s="194" t="s">
        <v>2</v>
      </c>
      <c r="D4" s="205" t="s">
        <v>15</v>
      </c>
      <c r="E4" s="205"/>
      <c r="F4" s="205"/>
      <c r="G4" s="205" t="s">
        <v>16</v>
      </c>
      <c r="H4" s="205"/>
      <c r="I4" s="205"/>
      <c r="J4" s="215" t="s">
        <v>17</v>
      </c>
      <c r="K4" s="215"/>
      <c r="L4" s="216"/>
    </row>
    <row r="5" spans="2:17" ht="19.149999999999999" customHeight="1" thickBot="1" x14ac:dyDescent="0.3">
      <c r="B5" s="197"/>
      <c r="C5" s="195"/>
      <c r="D5" s="1">
        <v>2023</v>
      </c>
      <c r="E5" s="1">
        <v>2024</v>
      </c>
      <c r="F5" s="1">
        <v>2025</v>
      </c>
      <c r="G5" s="1">
        <v>2023</v>
      </c>
      <c r="H5" s="1">
        <v>2024</v>
      </c>
      <c r="I5" s="1">
        <v>2025</v>
      </c>
      <c r="J5" s="1">
        <v>2023</v>
      </c>
      <c r="K5" s="1">
        <v>2024</v>
      </c>
      <c r="L5" s="4">
        <v>2025</v>
      </c>
    </row>
    <row r="6" spans="2:17" ht="19.149999999999999" customHeight="1" x14ac:dyDescent="0.25">
      <c r="B6" s="76">
        <v>1</v>
      </c>
      <c r="C6" s="58" t="s">
        <v>32</v>
      </c>
      <c r="D6" s="84">
        <f>Income!J6-Exps.!J6</f>
        <v>2018.7499999999991</v>
      </c>
      <c r="E6" s="84">
        <f>Income!K6-Exps.!K6</f>
        <v>2466.2216000000008</v>
      </c>
      <c r="F6" s="84">
        <f>Income!L6-Exps.!L6</f>
        <v>4580.6706000000013</v>
      </c>
      <c r="G6" s="84">
        <f>154.83+436.71</f>
        <v>591.54</v>
      </c>
      <c r="H6" s="176">
        <f>389.99+464.71+76.8</f>
        <v>931.5</v>
      </c>
      <c r="I6" s="84">
        <f>1792.62+682.1275</f>
        <v>2474.7474999999999</v>
      </c>
      <c r="J6" s="80">
        <f t="shared" ref="J6:K8" si="0">D6-G6</f>
        <v>1427.2099999999991</v>
      </c>
      <c r="K6" s="80">
        <v>1534.7190000000001</v>
      </c>
      <c r="L6" s="81">
        <f>F6-I6</f>
        <v>2105.9231000000013</v>
      </c>
      <c r="O6" s="42"/>
      <c r="P6" s="42"/>
      <c r="Q6" s="42"/>
    </row>
    <row r="7" spans="2:17" ht="19.149999999999999" customHeight="1" x14ac:dyDescent="0.25">
      <c r="B7" s="49">
        <v>2</v>
      </c>
      <c r="C7" s="22" t="s">
        <v>24</v>
      </c>
      <c r="D7" s="14">
        <f>Income!J7-Exps.!J7-1</f>
        <v>147.71000000000004</v>
      </c>
      <c r="E7" s="14">
        <v>154.9</v>
      </c>
      <c r="F7" s="14">
        <f>Income!L7-Exps.!L7</f>
        <v>185.42999999999995</v>
      </c>
      <c r="G7" s="14">
        <v>55.11</v>
      </c>
      <c r="H7" s="14">
        <f>36.68+6.69</f>
        <v>43.37</v>
      </c>
      <c r="I7" s="14">
        <f>10.3+43.48</f>
        <v>53.78</v>
      </c>
      <c r="J7" s="117">
        <f t="shared" si="0"/>
        <v>92.600000000000037</v>
      </c>
      <c r="K7" s="117">
        <f t="shared" si="0"/>
        <v>111.53</v>
      </c>
      <c r="L7" s="118">
        <f t="shared" ref="L7:L17" si="1">F7-I7</f>
        <v>131.64999999999995</v>
      </c>
      <c r="O7" s="42"/>
      <c r="P7" s="42"/>
      <c r="Q7" s="42"/>
    </row>
    <row r="8" spans="2:17" ht="19.149999999999999" customHeight="1" x14ac:dyDescent="0.25">
      <c r="B8" s="49">
        <v>3</v>
      </c>
      <c r="C8" s="22" t="s">
        <v>25</v>
      </c>
      <c r="D8" s="14">
        <f>Income!J8-Exps.!J8</f>
        <v>1177</v>
      </c>
      <c r="E8" s="14">
        <f>Income!K8-Exps.!K8</f>
        <v>1377.3644000000004</v>
      </c>
      <c r="F8" s="14">
        <f>Income!L8-Exps.!L8</f>
        <v>1334.2740999999996</v>
      </c>
      <c r="G8" s="14">
        <f>407.2+195.21</f>
        <v>602.41</v>
      </c>
      <c r="H8" s="14">
        <f>314.2397+264.1645</f>
        <v>578.40419999999995</v>
      </c>
      <c r="I8" s="14">
        <f>1135.4181+51.7992</f>
        <v>1187.2173</v>
      </c>
      <c r="J8" s="117">
        <f t="shared" si="0"/>
        <v>574.59</v>
      </c>
      <c r="K8" s="117">
        <f t="shared" si="0"/>
        <v>798.96020000000044</v>
      </c>
      <c r="L8" s="118">
        <f t="shared" si="1"/>
        <v>147.05679999999961</v>
      </c>
      <c r="O8" s="42"/>
      <c r="P8" s="42"/>
      <c r="Q8" s="42"/>
    </row>
    <row r="9" spans="2:17" ht="19.149999999999999" customHeight="1" x14ac:dyDescent="0.25">
      <c r="B9" s="49">
        <v>4</v>
      </c>
      <c r="C9" s="22" t="s">
        <v>26</v>
      </c>
      <c r="D9" s="14">
        <f>Income!J9-Exps.!J9</f>
        <v>893.70999999999958</v>
      </c>
      <c r="E9" s="14">
        <f>Income!K9-Exps.!K9</f>
        <v>1162.69</v>
      </c>
      <c r="F9" s="14">
        <f>Income!L9-Exps.!L9</f>
        <v>615.10999999999967</v>
      </c>
      <c r="G9" s="14">
        <v>591.38</v>
      </c>
      <c r="H9" s="14">
        <f>592.28+144.84</f>
        <v>737.12</v>
      </c>
      <c r="I9" s="14">
        <f>1250.08+58-171.58</f>
        <v>1136.5</v>
      </c>
      <c r="J9" s="9">
        <f>D9-G9+1</f>
        <v>303.32999999999959</v>
      </c>
      <c r="K9" s="9">
        <f t="shared" ref="K9:K15" si="2">E9-H9</f>
        <v>425.57000000000005</v>
      </c>
      <c r="L9" s="126">
        <f t="shared" si="1"/>
        <v>-521.39000000000033</v>
      </c>
      <c r="O9" s="42"/>
      <c r="P9" s="42"/>
      <c r="Q9" s="42"/>
    </row>
    <row r="10" spans="2:17" ht="18.600000000000001" customHeight="1" x14ac:dyDescent="0.25">
      <c r="B10" s="49">
        <v>5</v>
      </c>
      <c r="C10" s="161" t="s">
        <v>33</v>
      </c>
      <c r="D10" s="14">
        <f>Income!J10-Exps.!J10</f>
        <v>443.06999999999994</v>
      </c>
      <c r="E10" s="14">
        <f>Income!K10-Exps.!K10-1</f>
        <v>707.75000000000045</v>
      </c>
      <c r="F10" s="14" t="s">
        <v>57</v>
      </c>
      <c r="G10" s="14">
        <v>339</v>
      </c>
      <c r="H10" s="14">
        <v>311.77999999999997</v>
      </c>
      <c r="I10" s="14" t="s">
        <v>57</v>
      </c>
      <c r="J10" s="9">
        <f>D10-G10</f>
        <v>104.06999999999994</v>
      </c>
      <c r="K10" s="9">
        <f t="shared" si="2"/>
        <v>395.97000000000048</v>
      </c>
      <c r="L10" s="166" t="s">
        <v>57</v>
      </c>
      <c r="M10" s="32"/>
      <c r="N10" s="32"/>
    </row>
    <row r="11" spans="2:17" ht="20.45" customHeight="1" x14ac:dyDescent="0.25">
      <c r="B11" s="49">
        <v>5</v>
      </c>
      <c r="C11" s="22" t="s">
        <v>27</v>
      </c>
      <c r="D11" s="21">
        <f>Income!J11-Exps.!J11</f>
        <v>1000.3700000000003</v>
      </c>
      <c r="E11" s="21">
        <f>Income!K11-Exps.!K11</f>
        <v>1193.3056000000001</v>
      </c>
      <c r="F11" s="21">
        <f>Income!L11-Exps.!L11</f>
        <v>1226.3599999999997</v>
      </c>
      <c r="G11" s="14">
        <v>744.4</v>
      </c>
      <c r="H11" s="14">
        <f>678.96-155.19</f>
        <v>523.77</v>
      </c>
      <c r="I11" s="14">
        <f>752.69-27.74</f>
        <v>724.95</v>
      </c>
      <c r="J11" s="9">
        <f>D11-G11</f>
        <v>255.97000000000037</v>
      </c>
      <c r="K11" s="9">
        <f t="shared" si="2"/>
        <v>669.53560000000016</v>
      </c>
      <c r="L11" s="101">
        <f t="shared" si="1"/>
        <v>501.40999999999963</v>
      </c>
    </row>
    <row r="12" spans="2:17" ht="21" customHeight="1" x14ac:dyDescent="0.25">
      <c r="B12" s="49">
        <v>6</v>
      </c>
      <c r="C12" s="47" t="s">
        <v>59</v>
      </c>
      <c r="D12" s="21">
        <f>Income!J12-Exps.!J12</f>
        <v>17.059999999999945</v>
      </c>
      <c r="E12" s="125">
        <f>Income!K12-Exps.!K12</f>
        <v>-47.480000000000018</v>
      </c>
      <c r="F12" s="125">
        <f>Income!L12-Exps.!L12</f>
        <v>-77.969999999999914</v>
      </c>
      <c r="G12" s="14">
        <v>229.06</v>
      </c>
      <c r="H12" s="14">
        <v>105.18</v>
      </c>
      <c r="I12" s="14">
        <v>138.72</v>
      </c>
      <c r="J12" s="125">
        <f>D12-G12</f>
        <v>-212.00000000000006</v>
      </c>
      <c r="K12" s="125">
        <f t="shared" si="2"/>
        <v>-152.66000000000003</v>
      </c>
      <c r="L12" s="126">
        <f t="shared" si="1"/>
        <v>-216.68999999999991</v>
      </c>
    </row>
    <row r="13" spans="2:17" ht="20.45" customHeight="1" x14ac:dyDescent="0.25">
      <c r="B13" s="49">
        <v>7</v>
      </c>
      <c r="C13" s="22" t="s">
        <v>29</v>
      </c>
      <c r="D13" s="14">
        <f>Income!J13-Exps.!J13</f>
        <v>337.46000000000015</v>
      </c>
      <c r="E13" s="14">
        <f>Income!K13-Exps.!K13</f>
        <v>453.91000000000008</v>
      </c>
      <c r="F13" s="14">
        <f>Income!L13-Exps.!L13</f>
        <v>389.19999999999982</v>
      </c>
      <c r="G13" s="14">
        <f>236.6+23.16</f>
        <v>259.76</v>
      </c>
      <c r="H13" s="14">
        <f>166.34+71.61</f>
        <v>237.95</v>
      </c>
      <c r="I13" s="14">
        <f>245.37+28.86</f>
        <v>274.23</v>
      </c>
      <c r="J13" s="9">
        <f>D13-G13-1</f>
        <v>76.700000000000159</v>
      </c>
      <c r="K13" s="9">
        <f t="shared" si="2"/>
        <v>215.96000000000009</v>
      </c>
      <c r="L13" s="101">
        <f t="shared" si="1"/>
        <v>114.9699999999998</v>
      </c>
    </row>
    <row r="14" spans="2:17" ht="20.45" customHeight="1" x14ac:dyDescent="0.25">
      <c r="B14" s="49">
        <v>8</v>
      </c>
      <c r="C14" s="22" t="s">
        <v>30</v>
      </c>
      <c r="D14" s="14">
        <f>Income!J14-Exps.!J14</f>
        <v>1485.0400000000009</v>
      </c>
      <c r="E14" s="14">
        <f>Income!K14-Exps.!K14</f>
        <v>1917.1100000000006</v>
      </c>
      <c r="F14" s="14">
        <f>Income!L14-Exps.!L14</f>
        <v>1689.2300000000005</v>
      </c>
      <c r="G14" s="14">
        <f>17.8+367.32</f>
        <v>385.12</v>
      </c>
      <c r="H14" s="14">
        <f>214.94+420.67</f>
        <v>635.61</v>
      </c>
      <c r="I14" s="14">
        <f>747.66+215.47</f>
        <v>963.13</v>
      </c>
      <c r="J14" s="9">
        <f>D14-G14</f>
        <v>1099.920000000001</v>
      </c>
      <c r="K14" s="9">
        <f t="shared" si="2"/>
        <v>1281.5000000000005</v>
      </c>
      <c r="L14" s="101">
        <f t="shared" si="1"/>
        <v>726.10000000000048</v>
      </c>
    </row>
    <row r="15" spans="2:17" ht="20.45" customHeight="1" x14ac:dyDescent="0.25">
      <c r="B15" s="49">
        <v>9</v>
      </c>
      <c r="C15" s="22" t="s">
        <v>28</v>
      </c>
      <c r="D15" s="14">
        <f>Income!J15-Exps.!J15</f>
        <v>838.31999999999994</v>
      </c>
      <c r="E15" s="14">
        <f>Income!K15-Exps.!K15</f>
        <v>997.2800000000002</v>
      </c>
      <c r="F15" s="14">
        <f>Income!L15-Exps.!L15</f>
        <v>1006.9360000000006</v>
      </c>
      <c r="G15" s="14">
        <f>302.5+131.31</f>
        <v>433.81</v>
      </c>
      <c r="H15" s="14">
        <f>337.88+161.76</f>
        <v>499.64</v>
      </c>
      <c r="I15" s="14">
        <f>979.28+3.9467</f>
        <v>983.22669999999994</v>
      </c>
      <c r="J15" s="9">
        <f>D15-G15-1</f>
        <v>403.50999999999993</v>
      </c>
      <c r="K15" s="9">
        <f t="shared" si="2"/>
        <v>497.64000000000021</v>
      </c>
      <c r="L15" s="101">
        <f t="shared" si="1"/>
        <v>23.709300000000667</v>
      </c>
    </row>
    <row r="16" spans="2:17" s="25" customFormat="1" ht="20.45" customHeight="1" x14ac:dyDescent="0.25">
      <c r="B16" s="45">
        <v>10</v>
      </c>
      <c r="C16" s="33" t="s">
        <v>47</v>
      </c>
      <c r="D16" s="88">
        <v>7</v>
      </c>
      <c r="E16" s="88">
        <v>18</v>
      </c>
      <c r="F16" s="88">
        <f>Income!L16-Exps.!L16</f>
        <v>20.909999999999968</v>
      </c>
      <c r="G16" s="88">
        <v>4.7755000000000001</v>
      </c>
      <c r="H16" s="88">
        <v>16.16</v>
      </c>
      <c r="I16" s="88">
        <v>19.97</v>
      </c>
      <c r="J16" s="23">
        <f>D16-G16</f>
        <v>2.2244999999999999</v>
      </c>
      <c r="K16" s="9">
        <v>2.4</v>
      </c>
      <c r="L16" s="101">
        <f t="shared" si="1"/>
        <v>0.9399999999999693</v>
      </c>
    </row>
    <row r="17" spans="2:14" s="25" customFormat="1" ht="20.45" customHeight="1" thickBot="1" x14ac:dyDescent="0.3">
      <c r="B17" s="75">
        <v>11</v>
      </c>
      <c r="C17" s="64" t="s">
        <v>48</v>
      </c>
      <c r="D17" s="87">
        <f>Income!J17-Exps.!J17</f>
        <v>151.80000000000007</v>
      </c>
      <c r="E17" s="87">
        <f>Income!K17-Exps.!K17</f>
        <v>417</v>
      </c>
      <c r="F17" s="87">
        <f>Income!L17-Exps.!L17</f>
        <v>727.97000000000025</v>
      </c>
      <c r="G17" s="87">
        <f>139.29-22.11</f>
        <v>117.17999999999999</v>
      </c>
      <c r="H17" s="145">
        <v>-22</v>
      </c>
      <c r="I17" s="87">
        <v>245.94</v>
      </c>
      <c r="J17" s="87">
        <f>D17-G17</f>
        <v>34.620000000000076</v>
      </c>
      <c r="K17" s="87">
        <f>E17-H17</f>
        <v>439</v>
      </c>
      <c r="L17" s="108">
        <f t="shared" si="1"/>
        <v>482.03000000000026</v>
      </c>
    </row>
    <row r="18" spans="2:14" s="12" customFormat="1" ht="20.45" customHeight="1" thickBot="1" x14ac:dyDescent="0.3">
      <c r="B18" s="46"/>
      <c r="C18" s="30" t="s">
        <v>50</v>
      </c>
      <c r="D18" s="35">
        <f t="shared" ref="D18:K18" si="3">SUM(D6:D17)</f>
        <v>8517.2899999999991</v>
      </c>
      <c r="E18" s="35">
        <f t="shared" si="3"/>
        <v>10818.051600000003</v>
      </c>
      <c r="F18" s="35">
        <f>SUM(F6:F17)</f>
        <v>11698.120700000003</v>
      </c>
      <c r="G18" s="35">
        <f t="shared" si="3"/>
        <v>4353.5455000000002</v>
      </c>
      <c r="H18" s="35">
        <f t="shared" si="3"/>
        <v>4598.484199999999</v>
      </c>
      <c r="I18" s="35">
        <f>SUM(I6:I17)</f>
        <v>8202.4115000000002</v>
      </c>
      <c r="J18" s="10">
        <f t="shared" si="3"/>
        <v>4162.7444999999998</v>
      </c>
      <c r="K18" s="10">
        <f t="shared" si="3"/>
        <v>6220.1248000000023</v>
      </c>
      <c r="L18" s="111">
        <f>SUM(L6:L17)</f>
        <v>3495.7092000000011</v>
      </c>
      <c r="M18" s="57"/>
      <c r="N18" s="57"/>
    </row>
    <row r="20" spans="2:14" x14ac:dyDescent="0.25">
      <c r="B20" s="192">
        <v>5</v>
      </c>
      <c r="C20" s="192"/>
      <c r="D20" s="192"/>
      <c r="E20" s="192"/>
      <c r="F20" s="192"/>
      <c r="G20" s="192"/>
      <c r="H20" s="192"/>
      <c r="I20" s="192"/>
      <c r="J20" s="192"/>
      <c r="K20" s="192"/>
      <c r="L20" s="192"/>
    </row>
    <row r="21" spans="2:14" x14ac:dyDescent="0.25">
      <c r="D21" s="6"/>
      <c r="E21" s="6"/>
      <c r="F21" s="6"/>
      <c r="G21" s="6"/>
      <c r="H21" s="6"/>
      <c r="I21" s="6"/>
      <c r="J21" s="6"/>
      <c r="K21" s="6"/>
      <c r="L21" s="6"/>
    </row>
  </sheetData>
  <mergeCells count="9">
    <mergeCell ref="B2:L2"/>
    <mergeCell ref="B20:L20"/>
    <mergeCell ref="J4:L4"/>
    <mergeCell ref="G4:I4"/>
    <mergeCell ref="D4:F4"/>
    <mergeCell ref="B3:C3"/>
    <mergeCell ref="D3:L3"/>
    <mergeCell ref="B4:B5"/>
    <mergeCell ref="C4:C5"/>
  </mergeCells>
  <printOptions horizontalCentered="1"/>
  <pageMargins left="0.23622047244094491" right="0.23622047244094491" top="0.35433070866141736" bottom="0.35433070866141736" header="0.31496062992125984" footer="0.31496062992125984"/>
  <pageSetup scale="8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O20"/>
  <sheetViews>
    <sheetView zoomScaleNormal="100" workbookViewId="0">
      <selection activeCell="B4" sqref="B4:C5"/>
    </sheetView>
  </sheetViews>
  <sheetFormatPr defaultColWidth="9.28515625" defaultRowHeight="15.75" x14ac:dyDescent="0.25"/>
  <cols>
    <col min="1" max="1" width="9.28515625" style="8"/>
    <col min="2" max="2" width="6.85546875" style="8" customWidth="1"/>
    <col min="3" max="3" width="46.85546875" style="8" customWidth="1"/>
    <col min="4" max="9" width="10.5703125" style="8" customWidth="1"/>
    <col min="10" max="10" width="10.42578125" style="8" customWidth="1"/>
    <col min="11" max="12" width="10.28515625" style="8" customWidth="1"/>
    <col min="13" max="20" width="9.28515625" style="8" customWidth="1"/>
    <col min="21" max="16384" width="9.28515625" style="8"/>
  </cols>
  <sheetData>
    <row r="1" spans="2:15" ht="16.5" thickBot="1" x14ac:dyDescent="0.3"/>
    <row r="2" spans="2:15" ht="20.45" customHeight="1" x14ac:dyDescent="0.25">
      <c r="B2" s="221" t="s">
        <v>43</v>
      </c>
      <c r="C2" s="222"/>
      <c r="D2" s="222"/>
      <c r="E2" s="222"/>
      <c r="F2" s="222"/>
      <c r="G2" s="222"/>
      <c r="H2" s="222"/>
      <c r="I2" s="222"/>
      <c r="J2" s="222"/>
      <c r="K2" s="222"/>
      <c r="L2" s="223"/>
    </row>
    <row r="3" spans="2:15" ht="18" customHeight="1" x14ac:dyDescent="0.25">
      <c r="B3" s="225" t="s">
        <v>0</v>
      </c>
      <c r="C3" s="226"/>
      <c r="D3" s="206" t="s">
        <v>31</v>
      </c>
      <c r="E3" s="207"/>
      <c r="F3" s="207"/>
      <c r="G3" s="207"/>
      <c r="H3" s="207"/>
      <c r="I3" s="207"/>
      <c r="J3" s="207"/>
      <c r="K3" s="207"/>
      <c r="L3" s="208"/>
    </row>
    <row r="4" spans="2:15" ht="39" customHeight="1" x14ac:dyDescent="0.25">
      <c r="B4" s="196" t="s">
        <v>23</v>
      </c>
      <c r="C4" s="194" t="s">
        <v>2</v>
      </c>
      <c r="D4" s="224" t="s">
        <v>18</v>
      </c>
      <c r="E4" s="224"/>
      <c r="F4" s="224"/>
      <c r="G4" s="215" t="s">
        <v>19</v>
      </c>
      <c r="H4" s="215"/>
      <c r="I4" s="215"/>
      <c r="J4" s="215" t="s">
        <v>49</v>
      </c>
      <c r="K4" s="215"/>
      <c r="L4" s="216"/>
    </row>
    <row r="5" spans="2:15" ht="19.149999999999999" customHeight="1" thickBot="1" x14ac:dyDescent="0.3">
      <c r="B5" s="197"/>
      <c r="C5" s="195"/>
      <c r="D5" s="146">
        <v>2023</v>
      </c>
      <c r="E5" s="146">
        <v>2024</v>
      </c>
      <c r="F5" s="146">
        <v>2025</v>
      </c>
      <c r="G5" s="146">
        <v>2023</v>
      </c>
      <c r="H5" s="146">
        <v>2024</v>
      </c>
      <c r="I5" s="146">
        <v>2025</v>
      </c>
      <c r="J5" s="146">
        <v>2023</v>
      </c>
      <c r="K5" s="146">
        <v>2024</v>
      </c>
      <c r="L5" s="147">
        <v>2025</v>
      </c>
    </row>
    <row r="6" spans="2:15" ht="19.149999999999999" customHeight="1" x14ac:dyDescent="0.25">
      <c r="B6" s="76">
        <v>1</v>
      </c>
      <c r="C6" s="58" t="s">
        <v>32</v>
      </c>
      <c r="D6" s="77">
        <f>DEPO!J6/DEPO!D6*100</f>
        <v>84.223381276347041</v>
      </c>
      <c r="E6" s="77">
        <f>DEPO!K6/DEPO!E6*100</f>
        <v>83.919337727846212</v>
      </c>
      <c r="F6" s="77">
        <f>DEPO!L6/DEPO!F6*100</f>
        <v>86.17827166875864</v>
      </c>
      <c r="G6" s="77">
        <f>DEPO!G6/DEPO!D6*100</f>
        <v>28.936787852200364</v>
      </c>
      <c r="H6" s="77">
        <f>DEPO!H6/DEPO!E6*100</f>
        <v>31.12262746124388</v>
      </c>
      <c r="I6" s="77">
        <f>DEPO!I6/DEPO!F6*100</f>
        <v>30.456236147942189</v>
      </c>
      <c r="J6" s="60">
        <f>(Income!D6-Exps.!D6)/Assets!D6*100</f>
        <v>4.9052103886988698</v>
      </c>
      <c r="K6" s="60">
        <f>(Income!E6-Exps.!E6)/Assets!E6*100</f>
        <v>4.7128647279133551</v>
      </c>
      <c r="L6" s="150">
        <f>(Income!F6-Exps.!F6)/Assets!F6*100</f>
        <v>5.0755784386559224</v>
      </c>
      <c r="M6" s="6"/>
      <c r="N6" s="6"/>
      <c r="O6" s="6"/>
    </row>
    <row r="7" spans="2:15" ht="19.149999999999999" customHeight="1" x14ac:dyDescent="0.25">
      <c r="B7" s="49">
        <v>2</v>
      </c>
      <c r="C7" s="22" t="s">
        <v>24</v>
      </c>
      <c r="D7" s="26">
        <f>DEPO!J7/DEPO!D7*100</f>
        <v>82.746600168886474</v>
      </c>
      <c r="E7" s="26">
        <f>DEPO!K7/DEPO!E7*100</f>
        <v>81.236978017422373</v>
      </c>
      <c r="F7" s="26">
        <f>DEPO!L7/DEPO!F7*100</f>
        <v>85.19441040059597</v>
      </c>
      <c r="G7" s="26">
        <f>DEPO!G7/DEPO!D7*100</f>
        <v>22.6896238465267</v>
      </c>
      <c r="H7" s="26">
        <f>DEPO!H7/DEPO!E7*100</f>
        <v>22.810501568655773</v>
      </c>
      <c r="I7" s="26">
        <f>DEPO!I7/DEPO!F7*100</f>
        <v>21.861557686299953</v>
      </c>
      <c r="J7" s="43">
        <f>(Income!D7-Exps.!D7)/Assets!D7*100</f>
        <v>4.0295240633881342</v>
      </c>
      <c r="K7" s="43">
        <f>(Income!E7-Exps.!E7)/Assets!E7*100</f>
        <v>3.7131748586379327</v>
      </c>
      <c r="L7" s="38">
        <f>(Income!F7-Exps.!F7)/Assets!F7*100</f>
        <v>4.0583684804665046</v>
      </c>
      <c r="M7" s="6"/>
      <c r="N7" s="6"/>
      <c r="O7" s="6"/>
    </row>
    <row r="8" spans="2:15" ht="19.149999999999999" customHeight="1" x14ac:dyDescent="0.25">
      <c r="B8" s="49">
        <v>3</v>
      </c>
      <c r="C8" s="22" t="s">
        <v>25</v>
      </c>
      <c r="D8" s="26">
        <f>DEPO!J8/DEPO!D8*100</f>
        <v>101.77553052490723</v>
      </c>
      <c r="E8" s="26">
        <f>DEPO!K8/DEPO!E8*100</f>
        <v>85.704355519923453</v>
      </c>
      <c r="F8" s="26">
        <f>DEPO!L8/DEPO!F8*100</f>
        <v>83.998244589242688</v>
      </c>
      <c r="G8" s="26">
        <f>DEPO!G8/DEPO!D8*100</f>
        <v>26.291753982881815</v>
      </c>
      <c r="H8" s="26">
        <f>DEPO!H8/DEPO!E8*100</f>
        <v>25.09126066448265</v>
      </c>
      <c r="I8" s="26">
        <f>DEPO!I8/DEPO!F8*100</f>
        <v>21.548113843966789</v>
      </c>
      <c r="J8" s="43">
        <f>(Income!D8-Exps.!D8)/Assets!D8*100</f>
        <v>7.2793376541904751</v>
      </c>
      <c r="K8" s="43">
        <f>(Income!E8-Exps.!E8)/Assets!E8*100</f>
        <v>6.7980077790219866</v>
      </c>
      <c r="L8" s="38">
        <f>(Income!F8-Exps.!F8)/Assets!F8*100</f>
        <v>6.1542088170425915</v>
      </c>
      <c r="M8" s="6"/>
      <c r="N8" s="6"/>
      <c r="O8" s="6"/>
    </row>
    <row r="9" spans="2:15" ht="19.149999999999999" customHeight="1" x14ac:dyDescent="0.25">
      <c r="B9" s="49">
        <v>4</v>
      </c>
      <c r="C9" s="22" t="s">
        <v>26</v>
      </c>
      <c r="D9" s="26">
        <f>DEPO!J9/DEPO!D9*100</f>
        <v>94.945324544530308</v>
      </c>
      <c r="E9" s="26">
        <f>DEPO!K9/DEPO!E9*100</f>
        <v>92.074160198914839</v>
      </c>
      <c r="F9" s="26">
        <f>DEPO!L9/DEPO!F9*100</f>
        <v>77.451148027791191</v>
      </c>
      <c r="G9" s="26">
        <f>DEPO!G9/DEPO!D9*100</f>
        <v>33.333242417816351</v>
      </c>
      <c r="H9" s="26">
        <f>DEPO!H9/DEPO!E9*100</f>
        <v>27.889449259605996</v>
      </c>
      <c r="I9" s="26">
        <f>DEPO!I9/DEPO!F9*100</f>
        <v>25.756773802179371</v>
      </c>
      <c r="J9" s="43">
        <f>(Income!D9-Exps.!D9)/Assets!D9*100</f>
        <v>9.0801566086455168</v>
      </c>
      <c r="K9" s="43">
        <f>(Income!E9-Exps.!E9)/Assets!E9*100</f>
        <v>9.0838766460381617</v>
      </c>
      <c r="L9" s="38">
        <f>(Income!F9-Exps.!F9)/Assets!F9*100</f>
        <v>7.5484145617697047</v>
      </c>
      <c r="M9" s="6"/>
      <c r="N9" s="6"/>
      <c r="O9" s="6"/>
    </row>
    <row r="10" spans="2:15" ht="19.899999999999999" customHeight="1" x14ac:dyDescent="0.25">
      <c r="B10" s="49">
        <v>5</v>
      </c>
      <c r="C10" s="161" t="s">
        <v>33</v>
      </c>
      <c r="D10" s="26">
        <f>DEPO!J10/DEPO!D10*100</f>
        <v>108.33081254146859</v>
      </c>
      <c r="E10" s="26">
        <f>DEPO!K10/DEPO!E10*100</f>
        <v>117.45041200566449</v>
      </c>
      <c r="F10" s="26" t="s">
        <v>57</v>
      </c>
      <c r="G10" s="26">
        <f>DEPO!G10/DEPO!D10*100</f>
        <v>31.405207644783705</v>
      </c>
      <c r="H10" s="26">
        <f>DEPO!H10/DEPO!E10*100</f>
        <v>30.267067108927264</v>
      </c>
      <c r="I10" s="26" t="s">
        <v>57</v>
      </c>
      <c r="J10" s="43">
        <f>(Income!D10-Exps.!D10)/Assets!D10*100</f>
        <v>8.7461269890412741</v>
      </c>
      <c r="K10" s="43">
        <f>(Income!E10-Exps.!E10)/Assets!E10*100</f>
        <v>9.5392887071208641</v>
      </c>
      <c r="L10" s="38" t="s">
        <v>57</v>
      </c>
      <c r="M10" s="6"/>
      <c r="N10" s="6"/>
      <c r="O10" s="6"/>
    </row>
    <row r="11" spans="2:15" ht="19.149999999999999" customHeight="1" x14ac:dyDescent="0.25">
      <c r="B11" s="49">
        <v>6</v>
      </c>
      <c r="C11" s="22" t="s">
        <v>27</v>
      </c>
      <c r="D11" s="26">
        <f>DEPO!J11/DEPO!D11*100</f>
        <v>108.72742901012732</v>
      </c>
      <c r="E11" s="26">
        <f>DEPO!K11/DEPO!E11*100</f>
        <v>102.39251259899208</v>
      </c>
      <c r="F11" s="26">
        <f>DEPO!L11/DEPO!F11*100</f>
        <v>93.254413323177573</v>
      </c>
      <c r="G11" s="26">
        <f>DEPO!G11/DEPO!D11*100</f>
        <v>31.965309213531022</v>
      </c>
      <c r="H11" s="26">
        <f>DEPO!H11/DEPO!E11*100</f>
        <v>29.85076147754333</v>
      </c>
      <c r="I11" s="26">
        <f>DEPO!I11/DEPO!F11*100</f>
        <v>20.414233898745117</v>
      </c>
      <c r="J11" s="43">
        <f>(Income!D11-Exps.!D11)/Assets!D11*100</f>
        <v>6.4734280678219918</v>
      </c>
      <c r="K11" s="43">
        <f>(Income!E11-Exps.!E11)/Assets!E11*100</f>
        <v>6.5054100027575847</v>
      </c>
      <c r="L11" s="38">
        <f>(Income!F11-Exps.!F11)/Assets!F11*100</f>
        <v>6.2218012761149364</v>
      </c>
      <c r="M11" s="6"/>
      <c r="N11" s="6"/>
      <c r="O11" s="6"/>
    </row>
    <row r="12" spans="2:15" ht="20.45" customHeight="1" x14ac:dyDescent="0.25">
      <c r="B12" s="49">
        <v>7</v>
      </c>
      <c r="C12" s="47" t="s">
        <v>59</v>
      </c>
      <c r="D12" s="26">
        <f>DEPO!J12/DEPO!D12*100</f>
        <v>78.604943053396937</v>
      </c>
      <c r="E12" s="26">
        <f>DEPO!K12/DEPO!E12*100</f>
        <v>52.806386017096941</v>
      </c>
      <c r="F12" s="26">
        <f>DEPO!L12/DEPO!F12*100</f>
        <v>120.11635888487334</v>
      </c>
      <c r="G12" s="26">
        <f>DEPO!G12/DEPO!D12*100</f>
        <v>17.076136358064943</v>
      </c>
      <c r="H12" s="26">
        <f>DEPO!H12/DEPO!E12*100</f>
        <v>36.206953282836594</v>
      </c>
      <c r="I12" s="26">
        <f>DEPO!I12/DEPO!F12*100</f>
        <v>32.175671317162731</v>
      </c>
      <c r="J12" s="43">
        <f>(Income!D12-Exps.!D12)/Assets!D12*100</f>
        <v>5.7688050648603166</v>
      </c>
      <c r="K12" s="43">
        <f>(Income!E12-Exps.!E12)/Assets!E12*100</f>
        <v>4.2441670866561925</v>
      </c>
      <c r="L12" s="38">
        <f>(Income!F12-Exps.!F12)/Assets!F12*100</f>
        <v>4.8199727476385146</v>
      </c>
      <c r="M12" s="6"/>
      <c r="N12" s="6"/>
      <c r="O12" s="6"/>
    </row>
    <row r="13" spans="2:15" ht="19.149999999999999" customHeight="1" x14ac:dyDescent="0.25">
      <c r="B13" s="49">
        <v>8</v>
      </c>
      <c r="C13" s="22" t="s">
        <v>29</v>
      </c>
      <c r="D13" s="26">
        <f>DEPO!J13/DEPO!D13*100</f>
        <v>116.41912083488171</v>
      </c>
      <c r="E13" s="26">
        <f>DEPO!K13/DEPO!E13*100</f>
        <v>103.86639527752027</v>
      </c>
      <c r="F13" s="26">
        <f>DEPO!L13/DEPO!F13*100</f>
        <v>94.278995161447341</v>
      </c>
      <c r="G13" s="26">
        <f>DEPO!G13/DEPO!D13*100</f>
        <v>49.745099405425492</v>
      </c>
      <c r="H13" s="26">
        <f>DEPO!H13/DEPO!E13*100</f>
        <v>33.421753391614281</v>
      </c>
      <c r="I13" s="26">
        <f>DEPO!I13/DEPO!F13*100</f>
        <v>29.655913592277976</v>
      </c>
      <c r="J13" s="43">
        <f>(Income!D13-Exps.!D13)/Assets!D13*100</f>
        <v>7.5707671058956203</v>
      </c>
      <c r="K13" s="43">
        <f>(Income!E13-Exps.!E13)/Assets!E13*100</f>
        <v>7.7739061165694086</v>
      </c>
      <c r="L13" s="38">
        <f>(Income!F13-Exps.!F13)/Assets!F13*100</f>
        <v>7.0841063916041547</v>
      </c>
      <c r="M13" s="6"/>
      <c r="N13" s="6"/>
      <c r="O13" s="6"/>
    </row>
    <row r="14" spans="2:15" ht="19.149999999999999" customHeight="1" x14ac:dyDescent="0.25">
      <c r="B14" s="49">
        <v>9</v>
      </c>
      <c r="C14" s="22" t="s">
        <v>30</v>
      </c>
      <c r="D14" s="26">
        <f>DEPO!J14/DEPO!D14*100</f>
        <v>83.365677696642763</v>
      </c>
      <c r="E14" s="26">
        <f>DEPO!K14/DEPO!E14*100</f>
        <v>85.444702813139244</v>
      </c>
      <c r="F14" s="26">
        <f>DEPO!L14/DEPO!F14*100</f>
        <v>83.416422006841245</v>
      </c>
      <c r="G14" s="26">
        <f>DEPO!G14/DEPO!D14*100</f>
        <v>33.324522822746623</v>
      </c>
      <c r="H14" s="26">
        <f>DEPO!H14/DEPO!E14*100</f>
        <v>31.040328824665409</v>
      </c>
      <c r="I14" s="26">
        <f>DEPO!I14/DEPO!F14*100</f>
        <v>31.171513092578142</v>
      </c>
      <c r="J14" s="43">
        <f>(Income!D14-Exps.!D14)/Assets!D14*100</f>
        <v>8.0977270380659903</v>
      </c>
      <c r="K14" s="43">
        <f>(Income!E14-Exps.!E14)/Assets!E14*100</f>
        <v>8.4346183856304773</v>
      </c>
      <c r="L14" s="38">
        <f>(Income!F14-Exps.!F14)/Assets!F14*100</f>
        <v>7.624941941720496</v>
      </c>
      <c r="M14" s="6"/>
      <c r="N14" s="6"/>
      <c r="O14" s="6"/>
    </row>
    <row r="15" spans="2:15" ht="19.149999999999999" customHeight="1" x14ac:dyDescent="0.25">
      <c r="B15" s="49">
        <v>10</v>
      </c>
      <c r="C15" s="22" t="s">
        <v>28</v>
      </c>
      <c r="D15" s="26">
        <f>DEPO!J15/DEPO!D15*100</f>
        <v>95.321783730873648</v>
      </c>
      <c r="E15" s="26">
        <f>DEPO!K15/DEPO!E15*100</f>
        <v>93.659849590428109</v>
      </c>
      <c r="F15" s="26">
        <f>DEPO!L15/DEPO!F15*100</f>
        <v>86.788171748053117</v>
      </c>
      <c r="G15" s="26">
        <f>DEPO!G15/DEPO!D15*100</f>
        <v>20.856242168205434</v>
      </c>
      <c r="H15" s="26">
        <f>DEPO!H15/DEPO!E15*100</f>
        <v>21.058489292442435</v>
      </c>
      <c r="I15" s="26">
        <f>DEPO!I15/DEPO!F15*100</f>
        <v>22.989679689907945</v>
      </c>
      <c r="J15" s="43">
        <f>(Income!D15-Exps.!D15)/Assets!D15*100</f>
        <v>7.9980478659911247</v>
      </c>
      <c r="K15" s="43">
        <f>(Income!E15-Exps.!E15)/Assets!E15*100</f>
        <v>7.8895347161324239</v>
      </c>
      <c r="L15" s="38">
        <f>(Income!F15-Exps.!F15)/Assets!F15*100</f>
        <v>7.1917910736956774</v>
      </c>
      <c r="M15" s="6"/>
      <c r="N15" s="6"/>
      <c r="O15" s="6"/>
    </row>
    <row r="16" spans="2:15" s="25" customFormat="1" ht="19.149999999999999" customHeight="1" x14ac:dyDescent="0.25">
      <c r="B16" s="49">
        <v>11</v>
      </c>
      <c r="C16" s="33" t="s">
        <v>47</v>
      </c>
      <c r="D16" s="26">
        <f>DEPO!J16/DEPO!D16*100</f>
        <v>74.296559078479191</v>
      </c>
      <c r="E16" s="26">
        <f>DEPO!K16/DEPO!E16*100</f>
        <v>86.957496078284919</v>
      </c>
      <c r="F16" s="26">
        <f>DEPO!L16/DEPO!F16*100</f>
        <v>92.834666219559253</v>
      </c>
      <c r="G16" s="26">
        <f>DEPO!G16/DEPO!D16*100</f>
        <v>28.156113733067269</v>
      </c>
      <c r="H16" s="26">
        <f>DEPO!H16/DEPO!E16*100</f>
        <v>20.568461940688728</v>
      </c>
      <c r="I16" s="26">
        <f>DEPO!I16/DEPO!F16*100</f>
        <v>20.073298197440099</v>
      </c>
      <c r="J16" s="26">
        <f>(Income!D16-Exps.!D16)/Assets!D16*100</f>
        <v>4.3202880192012802</v>
      </c>
      <c r="K16" s="26">
        <f>(Income!E16-Exps.!E16)/Assets!E16*100</f>
        <v>4.4909724882120647</v>
      </c>
      <c r="L16" s="62">
        <f>(Income!F16-Exps.!F16)/Assets!F16*100</f>
        <v>4.056546983319417</v>
      </c>
      <c r="M16" s="6"/>
      <c r="N16" s="6"/>
      <c r="O16" s="6"/>
    </row>
    <row r="17" spans="2:15" s="25" customFormat="1" ht="19.149999999999999" customHeight="1" thickBot="1" x14ac:dyDescent="0.3">
      <c r="B17" s="49">
        <v>12</v>
      </c>
      <c r="C17" s="64" t="s">
        <v>48</v>
      </c>
      <c r="D17" s="65">
        <f>DEPO!J17/DEPO!D17*100</f>
        <v>166.43659065342581</v>
      </c>
      <c r="E17" s="65">
        <f>DEPO!K17/DEPO!E17*100</f>
        <v>122.38278247501921</v>
      </c>
      <c r="F17" s="65">
        <f>DEPO!L17/DEPO!F17*100</f>
        <v>91.91165581343202</v>
      </c>
      <c r="G17" s="65">
        <f>DEPO!G17/DEPO!D17*100</f>
        <v>90.731649171949854</v>
      </c>
      <c r="H17" s="65">
        <f>DEPO!H17/DEPO!E17*100</f>
        <v>58.800922367409683</v>
      </c>
      <c r="I17" s="65">
        <f>DEPO!I17/DEPO!F17*100</f>
        <v>43.106069416636203</v>
      </c>
      <c r="J17" s="65">
        <f>(Income!D17-Exps.!D17)/Assets!D17*100</f>
        <v>6.3893267346396057</v>
      </c>
      <c r="K17" s="65">
        <f>(Income!E17-Exps.!E17)/Assets!E17*100</f>
        <v>7.1221141280673734</v>
      </c>
      <c r="L17" s="78">
        <f>(Income!F17-Exps.!F17)/Assets!F17*100</f>
        <v>6.1972311943333178</v>
      </c>
      <c r="M17" s="6"/>
      <c r="N17" s="6"/>
      <c r="O17" s="6"/>
    </row>
    <row r="18" spans="2:15" ht="19.149999999999999" customHeight="1" thickBot="1" x14ac:dyDescent="0.3">
      <c r="B18" s="46"/>
      <c r="C18" s="30" t="s">
        <v>50</v>
      </c>
      <c r="D18" s="50">
        <f>DEPO!J18/DEPO!D18*100</f>
        <v>92.969258175944205</v>
      </c>
      <c r="E18" s="50">
        <f>DEPO!K18/DEPO!E18*100</f>
        <v>90.136181249124974</v>
      </c>
      <c r="F18" s="50">
        <f>DEPO!L18/DEPO!F18*100</f>
        <v>86.391727219271516</v>
      </c>
      <c r="G18" s="50">
        <f>DEPO!G18/DEPO!D18*100</f>
        <v>30.372685311245469</v>
      </c>
      <c r="H18" s="50">
        <f>DEPO!H18/DEPO!E18*100</f>
        <v>29.607165454088445</v>
      </c>
      <c r="I18" s="50">
        <f>DEPO!I18/DEPO!F18*100</f>
        <v>27.674434816487313</v>
      </c>
      <c r="J18" s="44">
        <f>(Income!D18-Exps.!D18)/Assets!D18*100</f>
        <v>6.6035600588839269</v>
      </c>
      <c r="K18" s="44">
        <f>(Income!E18-Exps.!E18)/Assets!E18*100</f>
        <v>6.613231393523165</v>
      </c>
      <c r="L18" s="41">
        <f>(Income!F18-Exps.!F18)/Assets!F18*100</f>
        <v>6.0291627952577862</v>
      </c>
      <c r="M18" s="6"/>
      <c r="N18" s="6"/>
      <c r="O18" s="6"/>
    </row>
    <row r="20" spans="2:15" x14ac:dyDescent="0.25">
      <c r="B20" s="192">
        <v>6</v>
      </c>
      <c r="C20" s="192"/>
      <c r="D20" s="192"/>
      <c r="E20" s="192"/>
      <c r="F20" s="192"/>
      <c r="G20" s="192"/>
      <c r="H20" s="192"/>
      <c r="I20" s="192"/>
      <c r="J20" s="192"/>
      <c r="K20" s="192"/>
      <c r="L20" s="192"/>
    </row>
  </sheetData>
  <mergeCells count="9">
    <mergeCell ref="B2:L2"/>
    <mergeCell ref="B20:L20"/>
    <mergeCell ref="J4:L4"/>
    <mergeCell ref="G4:I4"/>
    <mergeCell ref="D4:F4"/>
    <mergeCell ref="B3:C3"/>
    <mergeCell ref="D3:L3"/>
    <mergeCell ref="B4:B5"/>
    <mergeCell ref="C4:C5"/>
  </mergeCells>
  <printOptions horizontalCentered="1"/>
  <pageMargins left="0.70866141732283472" right="0.70866141732283472" top="0.35433070866141736" bottom="0.35433070866141736" header="0.31496062992125984" footer="0.31496062992125984"/>
  <pageSetup paperSize="9" scale="8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L22"/>
  <sheetViews>
    <sheetView zoomScaleNormal="100" workbookViewId="0">
      <selection activeCell="B4" sqref="B4:C5"/>
    </sheetView>
  </sheetViews>
  <sheetFormatPr defaultColWidth="9.28515625" defaultRowHeight="15.75" x14ac:dyDescent="0.25"/>
  <cols>
    <col min="1" max="1" width="9.28515625" style="17"/>
    <col min="2" max="2" width="6" style="17" customWidth="1"/>
    <col min="3" max="3" width="48.28515625" style="17" bestFit="1" customWidth="1"/>
    <col min="4" max="9" width="10.28515625" style="17" customWidth="1"/>
    <col min="10" max="10" width="10" style="17" customWidth="1"/>
    <col min="11" max="12" width="10.28515625" style="17" customWidth="1"/>
    <col min="13" max="16384" width="9.28515625" style="17"/>
  </cols>
  <sheetData>
    <row r="1" spans="2:12" ht="16.5" thickBot="1" x14ac:dyDescent="0.3"/>
    <row r="2" spans="2:12" s="8" customFormat="1" ht="20.45" customHeight="1" x14ac:dyDescent="0.25">
      <c r="B2" s="183" t="s">
        <v>40</v>
      </c>
      <c r="C2" s="184"/>
      <c r="D2" s="184"/>
      <c r="E2" s="184"/>
      <c r="F2" s="184"/>
      <c r="G2" s="184"/>
      <c r="H2" s="184"/>
      <c r="I2" s="184"/>
      <c r="J2" s="184"/>
      <c r="K2" s="184"/>
      <c r="L2" s="185"/>
    </row>
    <row r="3" spans="2:12" s="8" customFormat="1" ht="18.600000000000001" customHeight="1" x14ac:dyDescent="0.25">
      <c r="B3" s="217" t="s">
        <v>0</v>
      </c>
      <c r="C3" s="218"/>
      <c r="D3" s="231" t="s">
        <v>31</v>
      </c>
      <c r="E3" s="231"/>
      <c r="F3" s="231"/>
      <c r="G3" s="231"/>
      <c r="H3" s="231"/>
      <c r="I3" s="231"/>
      <c r="J3" s="231"/>
      <c r="K3" s="231"/>
      <c r="L3" s="232"/>
    </row>
    <row r="4" spans="2:12" s="8" customFormat="1" ht="43.15" customHeight="1" x14ac:dyDescent="0.25">
      <c r="B4" s="196" t="s">
        <v>23</v>
      </c>
      <c r="C4" s="194" t="s">
        <v>2</v>
      </c>
      <c r="D4" s="227" t="s">
        <v>35</v>
      </c>
      <c r="E4" s="227"/>
      <c r="F4" s="227"/>
      <c r="G4" s="227" t="s">
        <v>20</v>
      </c>
      <c r="H4" s="227"/>
      <c r="I4" s="227"/>
      <c r="J4" s="227" t="s">
        <v>61</v>
      </c>
      <c r="K4" s="227"/>
      <c r="L4" s="230"/>
    </row>
    <row r="5" spans="2:12" s="8" customFormat="1" ht="19.149999999999999" customHeight="1" thickBot="1" x14ac:dyDescent="0.3">
      <c r="B5" s="197"/>
      <c r="C5" s="195"/>
      <c r="D5" s="1">
        <v>2023</v>
      </c>
      <c r="E5" s="1">
        <v>2024</v>
      </c>
      <c r="F5" s="1">
        <v>2025</v>
      </c>
      <c r="G5" s="1">
        <v>2023</v>
      </c>
      <c r="H5" s="1">
        <v>2024</v>
      </c>
      <c r="I5" s="1">
        <v>2025</v>
      </c>
      <c r="J5" s="1">
        <v>2023</v>
      </c>
      <c r="K5" s="1">
        <v>2024</v>
      </c>
      <c r="L5" s="4">
        <v>2025</v>
      </c>
    </row>
    <row r="6" spans="2:12" s="25" customFormat="1" ht="19.149999999999999" customHeight="1" x14ac:dyDescent="0.25">
      <c r="B6" s="69">
        <v>1</v>
      </c>
      <c r="C6" s="70" t="s">
        <v>34</v>
      </c>
      <c r="D6" s="59">
        <f>Exps.!G6/Exps.!J6*100</f>
        <v>47.644637485249554</v>
      </c>
      <c r="E6" s="59">
        <f>Exps.!H6/Exps.!K6*100</f>
        <v>44.841277744824133</v>
      </c>
      <c r="F6" s="59">
        <f>Exps.!I6/Exps.!L6*100</f>
        <v>42.523113138839783</v>
      </c>
      <c r="G6" s="59">
        <v>1.79</v>
      </c>
      <c r="H6" s="59">
        <v>1.54</v>
      </c>
      <c r="I6" s="59">
        <v>1.53</v>
      </c>
      <c r="J6" s="71">
        <v>23.59</v>
      </c>
      <c r="K6" s="71">
        <v>20.059999999999999</v>
      </c>
      <c r="L6" s="72">
        <v>20.059999999999999</v>
      </c>
    </row>
    <row r="7" spans="2:12" s="25" customFormat="1" ht="19.149999999999999" customHeight="1" x14ac:dyDescent="0.25">
      <c r="B7" s="45">
        <v>2</v>
      </c>
      <c r="C7" s="33" t="s">
        <v>24</v>
      </c>
      <c r="D7" s="16">
        <f>Exps.!G7/Exps.!J7*100</f>
        <v>38.620247238934063</v>
      </c>
      <c r="E7" s="16">
        <f>Exps.!H7/Exps.!K7*100</f>
        <v>36.512558126386907</v>
      </c>
      <c r="F7" s="16">
        <f>Exps.!I7/Exps.!L7*100</f>
        <v>38.412290350888036</v>
      </c>
      <c r="G7" s="16">
        <v>1.22</v>
      </c>
      <c r="H7" s="16">
        <v>1.27</v>
      </c>
      <c r="I7" s="16">
        <v>1.35</v>
      </c>
      <c r="J7" s="33">
        <v>18.87</v>
      </c>
      <c r="K7" s="33">
        <v>27.39</v>
      </c>
      <c r="L7" s="73">
        <v>25.39</v>
      </c>
    </row>
    <row r="8" spans="2:12" s="25" customFormat="1" ht="19.149999999999999" customHeight="1" x14ac:dyDescent="0.25">
      <c r="B8" s="45">
        <v>3</v>
      </c>
      <c r="C8" s="33" t="s">
        <v>25</v>
      </c>
      <c r="D8" s="16">
        <f>Exps.!G8/Exps.!J8*100</f>
        <v>55.760576673186613</v>
      </c>
      <c r="E8" s="16">
        <f>Exps.!H8/Exps.!K8*100</f>
        <v>50.961996610394387</v>
      </c>
      <c r="F8" s="16">
        <f>Exps.!I8/Exps.!L8*100</f>
        <v>48.036318930062109</v>
      </c>
      <c r="G8" s="16">
        <v>1.82</v>
      </c>
      <c r="H8" s="16">
        <v>1.96</v>
      </c>
      <c r="I8" s="16">
        <v>0.3</v>
      </c>
      <c r="J8" s="51">
        <v>23.8</v>
      </c>
      <c r="K8" s="51">
        <v>21.7</v>
      </c>
      <c r="L8" s="74">
        <v>20.6</v>
      </c>
    </row>
    <row r="9" spans="2:12" s="25" customFormat="1" ht="19.149999999999999" customHeight="1" x14ac:dyDescent="0.25">
      <c r="B9" s="45">
        <v>4</v>
      </c>
      <c r="C9" s="33" t="s">
        <v>26</v>
      </c>
      <c r="D9" s="16">
        <f>Exps.!G9/Exps.!J9*100</f>
        <v>54.742733088359586</v>
      </c>
      <c r="E9" s="16">
        <f>Exps.!H9/Exps.!K9*100</f>
        <v>53.229961647232017</v>
      </c>
      <c r="F9" s="16">
        <f>Exps.!I9/Exps.!L9*100</f>
        <v>51.249528835280813</v>
      </c>
      <c r="G9" s="16">
        <v>1.63</v>
      </c>
      <c r="H9" s="16">
        <v>1.86</v>
      </c>
      <c r="I9" s="52">
        <v>-1.94</v>
      </c>
      <c r="J9" s="33">
        <v>19.829999999999998</v>
      </c>
      <c r="K9" s="33">
        <v>23.27</v>
      </c>
      <c r="L9" s="73">
        <v>21.84</v>
      </c>
    </row>
    <row r="10" spans="2:12" s="25" customFormat="1" ht="19.899999999999999" customHeight="1" x14ac:dyDescent="0.25">
      <c r="B10" s="45">
        <v>5</v>
      </c>
      <c r="C10" s="168" t="s">
        <v>33</v>
      </c>
      <c r="D10" s="16">
        <f>Exps.!G10/Exps.!J10*100</f>
        <v>57.212334640283288</v>
      </c>
      <c r="E10" s="16">
        <f>Exps.!H10/Exps.!K10*100</f>
        <v>55.652713258990339</v>
      </c>
      <c r="F10" s="16" t="s">
        <v>57</v>
      </c>
      <c r="G10" s="16">
        <v>0.95</v>
      </c>
      <c r="H10" s="16">
        <v>2.69</v>
      </c>
      <c r="I10" s="16" t="s">
        <v>57</v>
      </c>
      <c r="J10" s="33">
        <v>20.04</v>
      </c>
      <c r="K10" s="33">
        <v>24.53</v>
      </c>
      <c r="L10" s="169" t="s">
        <v>57</v>
      </c>
    </row>
    <row r="11" spans="2:12" s="25" customFormat="1" ht="19.149999999999999" customHeight="1" x14ac:dyDescent="0.25">
      <c r="B11" s="45">
        <v>5</v>
      </c>
      <c r="C11" s="33" t="s">
        <v>27</v>
      </c>
      <c r="D11" s="16">
        <f>Exps.!G11/Exps.!J11*100</f>
        <v>47.583256158547876</v>
      </c>
      <c r="E11" s="16">
        <f>Exps.!H11/Exps.!K11*100</f>
        <v>45.97413949872697</v>
      </c>
      <c r="F11" s="16">
        <f>Exps.!I11/Exps.!L11*100</f>
        <v>45.609244733277144</v>
      </c>
      <c r="G11" s="26">
        <v>1.1299999999999999</v>
      </c>
      <c r="H11" s="26">
        <v>2.38</v>
      </c>
      <c r="I11" s="26">
        <v>1.49</v>
      </c>
      <c r="J11" s="51">
        <v>15.57</v>
      </c>
      <c r="K11" s="51">
        <v>20.309999999999999</v>
      </c>
      <c r="L11" s="74">
        <v>20.68</v>
      </c>
    </row>
    <row r="12" spans="2:12" s="25" customFormat="1" ht="19.149999999999999" customHeight="1" x14ac:dyDescent="0.25">
      <c r="B12" s="45">
        <v>6</v>
      </c>
      <c r="C12" s="47" t="s">
        <v>59</v>
      </c>
      <c r="D12" s="16">
        <f>Exps.!G12/Exps.!J12*100</f>
        <v>55.726458241964785</v>
      </c>
      <c r="E12" s="16">
        <f>Exps.!H12/Exps.!K12*100</f>
        <v>58.422567260072277</v>
      </c>
      <c r="F12" s="16">
        <f>Exps.!I12/Exps.!L12*100</f>
        <v>70.582971482220401</v>
      </c>
      <c r="G12" s="52">
        <v>-7.68</v>
      </c>
      <c r="H12" s="52">
        <v>-6.28</v>
      </c>
      <c r="I12" s="52">
        <v>-7.78</v>
      </c>
      <c r="J12" s="27">
        <v>5.5</v>
      </c>
      <c r="K12" s="27">
        <v>11.31</v>
      </c>
      <c r="L12" s="53">
        <v>20.3</v>
      </c>
    </row>
    <row r="13" spans="2:12" s="25" customFormat="1" ht="19.149999999999999" customHeight="1" x14ac:dyDescent="0.25">
      <c r="B13" s="45">
        <v>7</v>
      </c>
      <c r="C13" s="33" t="s">
        <v>29</v>
      </c>
      <c r="D13" s="16">
        <f>Exps.!G13/Exps.!J13*100</f>
        <v>53.678309524818793</v>
      </c>
      <c r="E13" s="16">
        <f>Exps.!H13/Exps.!K13*100</f>
        <v>53.73805550222275</v>
      </c>
      <c r="F13" s="16">
        <f>Exps.!I13/Exps.!L13*100</f>
        <v>52.429565607812322</v>
      </c>
      <c r="G13" s="26">
        <v>0.87</v>
      </c>
      <c r="H13" s="26">
        <v>1.94</v>
      </c>
      <c r="I13" s="26">
        <v>0.84</v>
      </c>
      <c r="J13" s="27">
        <v>33.72</v>
      </c>
      <c r="K13" s="27">
        <v>28.41</v>
      </c>
      <c r="L13" s="53">
        <v>25.83</v>
      </c>
    </row>
    <row r="14" spans="2:12" s="25" customFormat="1" ht="19.149999999999999" customHeight="1" x14ac:dyDescent="0.25">
      <c r="B14" s="45">
        <v>8</v>
      </c>
      <c r="C14" s="33" t="s">
        <v>30</v>
      </c>
      <c r="D14" s="16">
        <f>Exps.!G14/Exps.!J14*100</f>
        <v>55.123197161341643</v>
      </c>
      <c r="E14" s="16">
        <f>Exps.!H14/Exps.!K14*100</f>
        <v>50.125362892583802</v>
      </c>
      <c r="F14" s="16">
        <f>Exps.!I14/Exps.!L14*100</f>
        <v>50.681501480578298</v>
      </c>
      <c r="G14" s="26">
        <v>4.04</v>
      </c>
      <c r="H14" s="26">
        <v>3.47</v>
      </c>
      <c r="I14" s="26">
        <v>1.67</v>
      </c>
      <c r="J14" s="27">
        <v>25.81</v>
      </c>
      <c r="K14" s="27">
        <v>24.69</v>
      </c>
      <c r="L14" s="53">
        <v>23.1</v>
      </c>
    </row>
    <row r="15" spans="2:12" s="25" customFormat="1" ht="19.149999999999999" customHeight="1" x14ac:dyDescent="0.25">
      <c r="B15" s="45">
        <v>9</v>
      </c>
      <c r="C15" s="33" t="s">
        <v>28</v>
      </c>
      <c r="D15" s="16">
        <f>Exps.!G15/Exps.!J15*100</f>
        <v>50.35784226455403</v>
      </c>
      <c r="E15" s="16">
        <f>Exps.!H15/Exps.!K15*100</f>
        <v>49.927754341518593</v>
      </c>
      <c r="F15" s="16">
        <f>Exps.!I15/Exps.!L15*100</f>
        <v>48.119315508276209</v>
      </c>
      <c r="G15" s="16">
        <v>2.4500000000000002</v>
      </c>
      <c r="H15" s="16">
        <v>2.46</v>
      </c>
      <c r="I15" s="16">
        <v>0.09</v>
      </c>
      <c r="J15" s="27">
        <v>20.64</v>
      </c>
      <c r="K15" s="27">
        <v>22.57</v>
      </c>
      <c r="L15" s="53">
        <v>20.93</v>
      </c>
    </row>
    <row r="16" spans="2:12" s="25" customFormat="1" ht="19.149999999999999" customHeight="1" x14ac:dyDescent="0.25">
      <c r="B16" s="45">
        <v>10</v>
      </c>
      <c r="C16" s="33" t="s">
        <v>47</v>
      </c>
      <c r="D16" s="16">
        <f>Exps.!G16/Exps.!J16*100</f>
        <v>49.733125501865757</v>
      </c>
      <c r="E16" s="16">
        <f>Exps.!H16/Exps.!K16*100</f>
        <v>50.257891479265524</v>
      </c>
      <c r="F16" s="16">
        <f>Exps.!I16/Exps.!L16*100</f>
        <v>48.331965072020303</v>
      </c>
      <c r="G16" s="16">
        <v>7.0000000000000007E-2</v>
      </c>
      <c r="H16" s="172">
        <v>0.09</v>
      </c>
      <c r="I16" s="16">
        <v>0.03</v>
      </c>
      <c r="J16" s="27">
        <v>23.46</v>
      </c>
      <c r="K16" s="27">
        <v>20.190000000000001</v>
      </c>
      <c r="L16" s="53">
        <v>20.95</v>
      </c>
    </row>
    <row r="17" spans="2:12" s="25" customFormat="1" ht="19.149999999999999" customHeight="1" thickBot="1" x14ac:dyDescent="0.3">
      <c r="B17" s="75">
        <v>11</v>
      </c>
      <c r="C17" s="64" t="s">
        <v>48</v>
      </c>
      <c r="D17" s="66">
        <f>Exps.!G17/Exps.!J17*100</f>
        <v>73.153136559684427</v>
      </c>
      <c r="E17" s="66">
        <f>Exps.!H17/Exps.!K17*100</f>
        <v>66.502057613168716</v>
      </c>
      <c r="F17" s="66">
        <f>Exps.!I17/Exps.!L17*100</f>
        <v>58.196783492641494</v>
      </c>
      <c r="G17" s="65">
        <v>0.43</v>
      </c>
      <c r="H17" s="65">
        <v>4</v>
      </c>
      <c r="I17" s="65">
        <v>2.88</v>
      </c>
      <c r="J17" s="67">
        <v>49.4</v>
      </c>
      <c r="K17" s="175">
        <v>36.46</v>
      </c>
      <c r="L17" s="68">
        <v>28.75</v>
      </c>
    </row>
    <row r="18" spans="2:12" s="25" customFormat="1" ht="19.149999999999999" customHeight="1" thickBot="1" x14ac:dyDescent="0.3">
      <c r="B18" s="54"/>
      <c r="C18" s="36" t="s">
        <v>50</v>
      </c>
      <c r="D18" s="36">
        <f>Exps.!G18/Exps.!J18*100</f>
        <v>51.99388183059488</v>
      </c>
      <c r="E18" s="50">
        <f>Exps.!H18/Exps.!K18*100</f>
        <v>49.472817858748833</v>
      </c>
      <c r="F18" s="50">
        <f>Exps.!I18/Exps.!L18*100</f>
        <v>47.476099232954319</v>
      </c>
      <c r="G18" s="35"/>
      <c r="H18" s="35"/>
      <c r="I18" s="35"/>
      <c r="J18" s="55"/>
      <c r="K18" s="55"/>
      <c r="L18" s="56"/>
    </row>
    <row r="20" spans="2:12" ht="17.45" customHeight="1" x14ac:dyDescent="0.25">
      <c r="B20" s="229" t="s">
        <v>62</v>
      </c>
      <c r="C20" s="229"/>
      <c r="D20" s="229"/>
      <c r="E20" s="229"/>
      <c r="F20" s="229"/>
      <c r="G20" s="229"/>
      <c r="H20" s="229"/>
      <c r="I20" s="229"/>
      <c r="J20" s="229"/>
      <c r="K20" s="229"/>
      <c r="L20" s="229"/>
    </row>
    <row r="21" spans="2:12" ht="17.45" customHeight="1" x14ac:dyDescent="0.25">
      <c r="B21" s="155"/>
      <c r="C21" s="155"/>
      <c r="D21" s="155"/>
      <c r="E21" s="155"/>
      <c r="F21" s="155"/>
      <c r="G21" s="155"/>
      <c r="H21" s="155"/>
      <c r="I21" s="155"/>
      <c r="J21" s="155"/>
      <c r="K21" s="155"/>
      <c r="L21" s="155"/>
    </row>
    <row r="22" spans="2:12" x14ac:dyDescent="0.25">
      <c r="B22" s="228">
        <v>7</v>
      </c>
      <c r="C22" s="228"/>
      <c r="D22" s="228"/>
      <c r="E22" s="228"/>
      <c r="F22" s="228"/>
      <c r="G22" s="228"/>
      <c r="H22" s="228"/>
      <c r="I22" s="228"/>
      <c r="J22" s="228"/>
      <c r="K22" s="228"/>
      <c r="L22" s="228"/>
    </row>
  </sheetData>
  <mergeCells count="10">
    <mergeCell ref="B2:L2"/>
    <mergeCell ref="D4:F4"/>
    <mergeCell ref="B22:L22"/>
    <mergeCell ref="B20:L20"/>
    <mergeCell ref="G4:I4"/>
    <mergeCell ref="J4:L4"/>
    <mergeCell ref="B3:C3"/>
    <mergeCell ref="D3:L3"/>
    <mergeCell ref="B4:B5"/>
    <mergeCell ref="C4:C5"/>
  </mergeCells>
  <pageMargins left="0.25" right="0.25" top="0.75" bottom="0.75" header="0.3" footer="0.3"/>
  <pageSetup scale="8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Q22"/>
  <sheetViews>
    <sheetView tabSelected="1" zoomScaleNormal="100" zoomScaleSheetLayoutView="100" workbookViewId="0">
      <selection activeCell="E7" sqref="E7"/>
    </sheetView>
  </sheetViews>
  <sheetFormatPr defaultColWidth="9.28515625" defaultRowHeight="15.75" x14ac:dyDescent="0.25"/>
  <cols>
    <col min="1" max="1" width="9.28515625" style="8"/>
    <col min="2" max="2" width="7.28515625" style="8" customWidth="1"/>
    <col min="3" max="3" width="48.28515625" style="8" bestFit="1" customWidth="1"/>
    <col min="4" max="6" width="10.28515625" style="8" customWidth="1"/>
    <col min="7" max="9" width="10.85546875" style="8" customWidth="1"/>
    <col min="10" max="10" width="10.28515625" style="8" customWidth="1"/>
    <col min="11" max="12" width="10" style="8" customWidth="1"/>
    <col min="13" max="13" width="9.42578125" style="8" customWidth="1"/>
    <col min="14" max="16384" width="9.28515625" style="8"/>
  </cols>
  <sheetData>
    <row r="1" spans="2:17" ht="16.5" thickBot="1" x14ac:dyDescent="0.3"/>
    <row r="2" spans="2:17" ht="21" customHeight="1" x14ac:dyDescent="0.25">
      <c r="B2" s="221" t="s">
        <v>44</v>
      </c>
      <c r="C2" s="222"/>
      <c r="D2" s="222"/>
      <c r="E2" s="222"/>
      <c r="F2" s="222"/>
      <c r="G2" s="222"/>
      <c r="H2" s="222"/>
      <c r="I2" s="222"/>
      <c r="J2" s="222"/>
      <c r="K2" s="222"/>
      <c r="L2" s="223"/>
    </row>
    <row r="3" spans="2:17" ht="18" customHeight="1" x14ac:dyDescent="0.25">
      <c r="B3" s="217" t="s">
        <v>0</v>
      </c>
      <c r="C3" s="218"/>
      <c r="D3" s="219" t="s">
        <v>31</v>
      </c>
      <c r="E3" s="219"/>
      <c r="F3" s="219"/>
      <c r="G3" s="186" t="s">
        <v>1</v>
      </c>
      <c r="H3" s="186"/>
      <c r="I3" s="186"/>
      <c r="J3" s="186" t="s">
        <v>46</v>
      </c>
      <c r="K3" s="186"/>
      <c r="L3" s="187"/>
    </row>
    <row r="4" spans="2:17" ht="36" customHeight="1" x14ac:dyDescent="0.25">
      <c r="B4" s="196" t="s">
        <v>23</v>
      </c>
      <c r="C4" s="194" t="s">
        <v>2</v>
      </c>
      <c r="D4" s="205" t="s">
        <v>21</v>
      </c>
      <c r="E4" s="205"/>
      <c r="F4" s="205"/>
      <c r="G4" s="234" t="s">
        <v>22</v>
      </c>
      <c r="H4" s="235"/>
      <c r="I4" s="236"/>
      <c r="J4" s="237" t="s">
        <v>52</v>
      </c>
      <c r="K4" s="237"/>
      <c r="L4" s="238"/>
    </row>
    <row r="5" spans="2:17" ht="19.899999999999999" customHeight="1" thickBot="1" x14ac:dyDescent="0.3">
      <c r="B5" s="197"/>
      <c r="C5" s="195"/>
      <c r="D5" s="1">
        <v>2023</v>
      </c>
      <c r="E5" s="1">
        <v>2024</v>
      </c>
      <c r="F5" s="1">
        <v>2025</v>
      </c>
      <c r="G5" s="1">
        <v>2023</v>
      </c>
      <c r="H5" s="1">
        <v>2024</v>
      </c>
      <c r="I5" s="1">
        <v>2025</v>
      </c>
      <c r="J5" s="1">
        <v>2023</v>
      </c>
      <c r="K5" s="1">
        <v>2024</v>
      </c>
      <c r="L5" s="4">
        <v>2025</v>
      </c>
    </row>
    <row r="6" spans="2:17" ht="19.899999999999999" customHeight="1" x14ac:dyDescent="0.25">
      <c r="B6" s="76">
        <v>1</v>
      </c>
      <c r="C6" s="58" t="s">
        <v>32</v>
      </c>
      <c r="D6" s="129">
        <f>Assets!J6/DEPO!J6*100</f>
        <v>0.41963768842793259</v>
      </c>
      <c r="E6" s="129">
        <v>0.55000000000000004</v>
      </c>
      <c r="F6" s="129">
        <f>Assets!L6/DEPO!L6*100</f>
        <v>0.73893143570865116</v>
      </c>
      <c r="G6" s="59">
        <v>3.68</v>
      </c>
      <c r="H6" s="59">
        <v>4.6500000000000004</v>
      </c>
      <c r="I6" s="59">
        <v>4.0199999999999996</v>
      </c>
      <c r="J6" s="60">
        <v>5</v>
      </c>
      <c r="K6" s="60">
        <v>5.33</v>
      </c>
      <c r="L6" s="61">
        <v>4.3899999999999997</v>
      </c>
    </row>
    <row r="7" spans="2:17" ht="19.899999999999999" customHeight="1" x14ac:dyDescent="0.25">
      <c r="B7" s="49">
        <v>2</v>
      </c>
      <c r="C7" s="22" t="s">
        <v>24</v>
      </c>
      <c r="D7" s="16">
        <f>Assets!J7/DEPO!J7*100</f>
        <v>1.3640491536632227</v>
      </c>
      <c r="E7" s="148">
        <v>1.4</v>
      </c>
      <c r="F7" s="148">
        <f>Assets!L7/DEPO!L7*100</f>
        <v>1.2952743079012579</v>
      </c>
      <c r="G7" s="16">
        <v>6.99</v>
      </c>
      <c r="H7" s="16">
        <v>7.4</v>
      </c>
      <c r="I7" s="16">
        <v>7.88</v>
      </c>
      <c r="J7" s="27">
        <v>5.42</v>
      </c>
      <c r="K7" s="27">
        <v>6.05</v>
      </c>
      <c r="L7" s="53">
        <v>6.69</v>
      </c>
      <c r="P7" s="6"/>
      <c r="Q7" s="6"/>
    </row>
    <row r="8" spans="2:17" ht="19.899999999999999" customHeight="1" x14ac:dyDescent="0.25">
      <c r="B8" s="49">
        <v>3</v>
      </c>
      <c r="C8" s="22" t="s">
        <v>25</v>
      </c>
      <c r="D8" s="16">
        <f>Assets!J8/DEPO!J8*100</f>
        <v>1.2094090559353141</v>
      </c>
      <c r="E8" s="148">
        <v>1.17</v>
      </c>
      <c r="F8" s="148">
        <f>Assets!L8/DEPO!L8*100</f>
        <v>0.97819960398065919</v>
      </c>
      <c r="G8" s="16">
        <v>2.4500000000000002</v>
      </c>
      <c r="H8" s="172">
        <v>2.8</v>
      </c>
      <c r="I8" s="16">
        <v>3.03</v>
      </c>
      <c r="J8" s="27">
        <v>3</v>
      </c>
      <c r="K8" s="27">
        <v>3.7</v>
      </c>
      <c r="L8" s="53">
        <v>0.6</v>
      </c>
      <c r="P8" s="42"/>
      <c r="Q8" s="42"/>
    </row>
    <row r="9" spans="2:17" ht="19.899999999999999" customHeight="1" x14ac:dyDescent="0.25">
      <c r="B9" s="49">
        <v>4</v>
      </c>
      <c r="C9" s="22" t="s">
        <v>26</v>
      </c>
      <c r="D9" s="16">
        <v>1.1299999999999999</v>
      </c>
      <c r="E9" s="148">
        <v>2.2599999999999998</v>
      </c>
      <c r="F9" s="148">
        <f>Assets!L9/DEPO!L9*100</f>
        <v>2.9933652727693287</v>
      </c>
      <c r="G9" s="16">
        <v>5.44</v>
      </c>
      <c r="H9" s="16">
        <v>6.16</v>
      </c>
      <c r="I9" s="16">
        <v>3.2</v>
      </c>
      <c r="J9" s="27">
        <v>6</v>
      </c>
      <c r="K9" s="27">
        <v>7.13</v>
      </c>
      <c r="L9" s="131">
        <v>-4.16</v>
      </c>
      <c r="P9" s="6"/>
      <c r="Q9" s="6"/>
    </row>
    <row r="10" spans="2:17" ht="19.149999999999999" customHeight="1" x14ac:dyDescent="0.25">
      <c r="B10" s="49">
        <v>5</v>
      </c>
      <c r="C10" s="161" t="s">
        <v>33</v>
      </c>
      <c r="D10" s="16">
        <f>Assets!J10/DEPO!J10*100</f>
        <v>1.2987192068413154</v>
      </c>
      <c r="E10" s="16">
        <v>0.63</v>
      </c>
      <c r="F10" s="16" t="s">
        <v>57</v>
      </c>
      <c r="G10" s="16">
        <v>0.97</v>
      </c>
      <c r="H10" s="16">
        <v>1.17</v>
      </c>
      <c r="I10" s="16" t="s">
        <v>57</v>
      </c>
      <c r="J10" s="27">
        <v>0.82</v>
      </c>
      <c r="K10" s="27">
        <v>2.76</v>
      </c>
      <c r="L10" s="62" t="s">
        <v>57</v>
      </c>
    </row>
    <row r="11" spans="2:17" ht="19.899999999999999" customHeight="1" x14ac:dyDescent="0.25">
      <c r="B11" s="49">
        <v>6</v>
      </c>
      <c r="C11" s="22" t="s">
        <v>27</v>
      </c>
      <c r="D11" s="16">
        <f>Assets!J11/DEPO!J11*100</f>
        <v>2.6352004216320672</v>
      </c>
      <c r="E11" s="148">
        <v>0.56000000000000005</v>
      </c>
      <c r="F11" s="148">
        <f>Assets!L11/DEPO!L11*100</f>
        <v>0.93603574674430357</v>
      </c>
      <c r="G11" s="16">
        <v>1.85</v>
      </c>
      <c r="H11" s="172">
        <v>2.17</v>
      </c>
      <c r="I11" s="16">
        <v>2.31</v>
      </c>
      <c r="J11" s="27">
        <v>1.56</v>
      </c>
      <c r="K11" s="174">
        <v>3.07</v>
      </c>
      <c r="L11" s="62">
        <v>1.97</v>
      </c>
    </row>
    <row r="12" spans="2:17" ht="18.600000000000001" customHeight="1" x14ac:dyDescent="0.25">
      <c r="B12" s="49">
        <v>7</v>
      </c>
      <c r="C12" s="47" t="s">
        <v>59</v>
      </c>
      <c r="D12" s="16">
        <v>1.71</v>
      </c>
      <c r="E12" s="148">
        <v>8.36</v>
      </c>
      <c r="F12" s="148">
        <f>Assets!L12/DEPO!L12*100</f>
        <v>4.6676787601510572</v>
      </c>
      <c r="G12" s="51">
        <v>1.98</v>
      </c>
      <c r="H12" s="173">
        <v>1.1399999999999999</v>
      </c>
      <c r="I12" s="130">
        <v>1.95</v>
      </c>
      <c r="J12" s="52">
        <v>-9.7899999999999991</v>
      </c>
      <c r="K12" s="52">
        <v>-7.36</v>
      </c>
      <c r="L12" s="131">
        <v>-8.27</v>
      </c>
      <c r="M12" s="12"/>
    </row>
    <row r="13" spans="2:17" ht="19.899999999999999" customHeight="1" x14ac:dyDescent="0.25">
      <c r="B13" s="49">
        <v>8</v>
      </c>
      <c r="C13" s="22" t="s">
        <v>45</v>
      </c>
      <c r="D13" s="16">
        <f>Assets!J13/DEPO!J13*100</f>
        <v>1.5456230621524343</v>
      </c>
      <c r="E13" s="148">
        <v>0.86</v>
      </c>
      <c r="F13" s="148">
        <f>Assets!L13/DEPO!L13*100</f>
        <v>4.58195270869781</v>
      </c>
      <c r="G13" s="16">
        <v>1.98</v>
      </c>
      <c r="H13" s="22">
        <v>2.2799999999999998</v>
      </c>
      <c r="I13" s="22">
        <v>2.5499999999999998</v>
      </c>
      <c r="J13" s="27">
        <v>1.37</v>
      </c>
      <c r="K13" s="27">
        <v>3.11</v>
      </c>
      <c r="L13" s="53">
        <v>0.01</v>
      </c>
      <c r="P13" s="6"/>
    </row>
    <row r="14" spans="2:17" ht="19.899999999999999" customHeight="1" x14ac:dyDescent="0.25">
      <c r="B14" s="49">
        <v>9</v>
      </c>
      <c r="C14" s="33" t="s">
        <v>53</v>
      </c>
      <c r="D14" s="16">
        <f>Assets!J14/DEPO!J14*100</f>
        <v>4.2461927527259712E-2</v>
      </c>
      <c r="E14" s="148">
        <v>0.28000000000000003</v>
      </c>
      <c r="F14" s="148">
        <f>Assets!L14/DEPO!L14*100</f>
        <v>0.48560050971647023</v>
      </c>
      <c r="G14" s="16">
        <v>2.39</v>
      </c>
      <c r="H14" s="16">
        <v>2.5989</v>
      </c>
      <c r="I14" s="16">
        <v>2.4275000000000002</v>
      </c>
      <c r="J14" s="27">
        <v>6.33</v>
      </c>
      <c r="K14" s="27">
        <v>6.34</v>
      </c>
      <c r="L14" s="53">
        <v>3.09</v>
      </c>
    </row>
    <row r="15" spans="2:17" ht="19.899999999999999" customHeight="1" x14ac:dyDescent="0.25">
      <c r="B15" s="49">
        <v>10</v>
      </c>
      <c r="C15" s="22" t="s">
        <v>28</v>
      </c>
      <c r="D15" s="16">
        <f>Assets!J15/DEPO!J15*100</f>
        <v>0.38649450023912002</v>
      </c>
      <c r="E15" s="148">
        <v>0.03</v>
      </c>
      <c r="F15" s="148">
        <f>Assets!L15/DEPO!L15*100</f>
        <v>4.8367545774830107</v>
      </c>
      <c r="G15" s="16">
        <v>1.67</v>
      </c>
      <c r="H15" s="16">
        <v>1.83</v>
      </c>
      <c r="I15" s="16">
        <v>1.91</v>
      </c>
      <c r="J15" s="26">
        <v>2.87</v>
      </c>
      <c r="K15" s="26">
        <v>3.07</v>
      </c>
      <c r="L15" s="62">
        <v>0.13</v>
      </c>
      <c r="O15" s="42"/>
      <c r="P15" s="42"/>
    </row>
    <row r="16" spans="2:17" s="25" customFormat="1" ht="19.899999999999999" customHeight="1" x14ac:dyDescent="0.25">
      <c r="B16" s="49">
        <v>11</v>
      </c>
      <c r="C16" s="33" t="s">
        <v>47</v>
      </c>
      <c r="D16" s="16">
        <f>Assets!J16/DEPO!J16*100</f>
        <v>1.1581886781727622</v>
      </c>
      <c r="E16" s="148">
        <v>0.84</v>
      </c>
      <c r="F16" s="148">
        <f>Assets!L16/DEPO!L16*100</f>
        <v>1.5077561044511112</v>
      </c>
      <c r="G16" s="26">
        <v>5.01</v>
      </c>
      <c r="H16" s="26">
        <v>5.97</v>
      </c>
      <c r="I16" s="26">
        <v>6.82</v>
      </c>
      <c r="J16" s="27">
        <v>0.24</v>
      </c>
      <c r="K16" s="27">
        <v>0.34</v>
      </c>
      <c r="L16" s="53">
        <v>0.11</v>
      </c>
      <c r="O16" s="63"/>
      <c r="P16" s="63"/>
    </row>
    <row r="17" spans="2:16" s="25" customFormat="1" ht="19.899999999999999" customHeight="1" thickBot="1" x14ac:dyDescent="0.3">
      <c r="B17" s="49">
        <v>12</v>
      </c>
      <c r="C17" s="64" t="s">
        <v>48</v>
      </c>
      <c r="D17" s="66">
        <f>Assets!J17/DEPO!J17*100</f>
        <v>0.3426443369686607</v>
      </c>
      <c r="E17" s="149">
        <v>0.63</v>
      </c>
      <c r="F17" s="149">
        <f>Assets!L17/DEPO!L17*100</f>
        <v>1.5418045038861448</v>
      </c>
      <c r="G17" s="65">
        <v>2.4300000000000002</v>
      </c>
      <c r="H17" s="65">
        <v>3.11</v>
      </c>
      <c r="I17" s="65">
        <v>4.67</v>
      </c>
      <c r="J17" s="67">
        <v>0.01</v>
      </c>
      <c r="K17" s="67">
        <v>0.09</v>
      </c>
      <c r="L17" s="68">
        <v>0.1</v>
      </c>
      <c r="O17" s="63"/>
      <c r="P17" s="63"/>
    </row>
    <row r="18" spans="2:16" ht="19.899999999999999" customHeight="1" thickBot="1" x14ac:dyDescent="0.3">
      <c r="B18" s="46"/>
      <c r="C18" s="30" t="s">
        <v>50</v>
      </c>
      <c r="D18" s="30">
        <f>Assets!J18/DEPO!J18*100</f>
        <v>0.88900009534123159</v>
      </c>
      <c r="E18" s="44">
        <f>Assets!K18/DEPO!K18*100</f>
        <v>0.77582647922260417</v>
      </c>
      <c r="F18" s="44">
        <f>Assets!L18/DEPO!L18*100</f>
        <v>1.4295061773573956</v>
      </c>
      <c r="G18" s="30"/>
      <c r="H18" s="30"/>
      <c r="I18" s="30"/>
      <c r="J18" s="30"/>
      <c r="K18" s="30"/>
      <c r="L18" s="151"/>
    </row>
    <row r="20" spans="2:16" ht="16.899999999999999" customHeight="1" x14ac:dyDescent="0.25">
      <c r="B20" s="233" t="s">
        <v>54</v>
      </c>
      <c r="C20" s="233"/>
      <c r="D20" s="233"/>
      <c r="E20" s="233"/>
      <c r="F20" s="233"/>
      <c r="G20" s="233"/>
      <c r="H20" s="233"/>
      <c r="I20" s="233"/>
      <c r="J20" s="233"/>
      <c r="K20" s="233"/>
      <c r="L20" s="233"/>
    </row>
    <row r="21" spans="2:16" ht="16.899999999999999" customHeight="1" x14ac:dyDescent="0.25"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</row>
    <row r="22" spans="2:16" x14ac:dyDescent="0.25">
      <c r="B22" s="192">
        <v>8</v>
      </c>
      <c r="C22" s="192"/>
      <c r="D22" s="192"/>
      <c r="E22" s="192"/>
      <c r="F22" s="192"/>
      <c r="G22" s="192"/>
      <c r="H22" s="192"/>
      <c r="I22" s="192"/>
      <c r="J22" s="192"/>
      <c r="K22" s="192"/>
      <c r="L22" s="192"/>
    </row>
  </sheetData>
  <mergeCells count="12">
    <mergeCell ref="J3:L3"/>
    <mergeCell ref="B2:L2"/>
    <mergeCell ref="B22:L22"/>
    <mergeCell ref="B20:L20"/>
    <mergeCell ref="B3:C3"/>
    <mergeCell ref="D4:F4"/>
    <mergeCell ref="D3:F3"/>
    <mergeCell ref="G4:I4"/>
    <mergeCell ref="G3:I3"/>
    <mergeCell ref="J4:L4"/>
    <mergeCell ref="B4:B5"/>
    <mergeCell ref="C4:C5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DEPO</vt:lpstr>
      <vt:lpstr>Assets</vt:lpstr>
      <vt:lpstr>Income</vt:lpstr>
      <vt:lpstr>Exps.</vt:lpstr>
      <vt:lpstr>Profit</vt:lpstr>
      <vt:lpstr>CDRatio</vt:lpstr>
      <vt:lpstr>CRAR</vt:lpstr>
      <vt:lpstr>NetNPAtoNetAdv</vt:lpstr>
      <vt:lpstr>Assets!Print_Area</vt:lpstr>
      <vt:lpstr>CDRatio!Print_Area</vt:lpstr>
      <vt:lpstr>DEPO!Print_Area</vt:lpstr>
      <vt:lpstr>Exps.!Print_Area</vt:lpstr>
      <vt:lpstr>Income!Print_Area</vt:lpstr>
      <vt:lpstr>NetNPAtoNetAdv!Print_Area</vt:lpstr>
      <vt:lpstr>Profit!Print_Area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2025-07-23T05:39:59Z</dcterms:modified>
</cp:coreProperties>
</file>