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7.200.222\eco\KEY BANKING INDICATORS FOR WEBSITE\2024-25\Data Entry\"/>
    </mc:Choice>
  </mc:AlternateContent>
  <xr:revisionPtr revIDLastSave="0" documentId="13_ncr:1_{D9571F10-0C76-4098-A8B7-77C616F60CF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epo" sheetId="1" r:id="rId1"/>
    <sheet name="Income" sheetId="3" r:id="rId2"/>
    <sheet name="Exps." sheetId="4" r:id="rId3"/>
    <sheet name="Profit" sheetId="5" r:id="rId4"/>
    <sheet name="Ratio I" sheetId="6" r:id="rId5"/>
    <sheet name="Ratio II" sheetId="7" r:id="rId6"/>
    <sheet name="Ratio III" sheetId="8" state="hidden" r:id="rId7"/>
  </sheets>
  <definedNames>
    <definedName name="_xlnm.Print_Area" localSheetId="0">Depo!$A$1:$L$14</definedName>
    <definedName name="_xlnm.Print_Area" localSheetId="2">Exps.!$A$1:$L$15</definedName>
    <definedName name="_xlnm.Print_Area" localSheetId="1">Income!$A$1:$L$13</definedName>
    <definedName name="_xlnm.Print_Area" localSheetId="3">Profit!$A$1:$L$13</definedName>
    <definedName name="_xlnm.Print_Area" localSheetId="5">'Ratio II'!$A$1:$R$20</definedName>
    <definedName name="_xlnm.Print_Area" localSheetId="6">'Ratio III'!$A$1:$N$17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D11" i="5"/>
  <c r="D11" i="4"/>
  <c r="D11" i="3"/>
  <c r="E15" i="3" s="1"/>
  <c r="K11" i="1"/>
  <c r="L11" i="1"/>
  <c r="J11" i="1"/>
  <c r="I11" i="1"/>
  <c r="H11" i="1"/>
  <c r="G11" i="1"/>
  <c r="F11" i="1"/>
  <c r="E11" i="1"/>
  <c r="D11" i="1"/>
  <c r="L15" i="3"/>
  <c r="K15" i="3"/>
  <c r="I15" i="3"/>
  <c r="H15" i="3"/>
  <c r="F15" i="3"/>
  <c r="P5" i="4"/>
  <c r="O5" i="3"/>
  <c r="L11" i="5"/>
  <c r="K11" i="5"/>
  <c r="P8" i="5"/>
  <c r="P10" i="5"/>
  <c r="O10" i="5"/>
  <c r="N10" i="5"/>
  <c r="P9" i="5"/>
  <c r="O9" i="5"/>
  <c r="N9" i="5"/>
  <c r="O8" i="5"/>
  <c r="N8" i="5"/>
  <c r="P7" i="5"/>
  <c r="O7" i="5"/>
  <c r="P6" i="5"/>
  <c r="O6" i="5"/>
  <c r="N6" i="5"/>
  <c r="P5" i="5"/>
  <c r="Q10" i="5"/>
  <c r="O10" i="3"/>
  <c r="U5" i="5"/>
  <c r="AD9" i="5"/>
  <c r="AA10" i="5"/>
  <c r="AD10" i="5" s="1"/>
  <c r="Z10" i="5"/>
  <c r="AC10" i="5" s="1"/>
  <c r="AA9" i="5"/>
  <c r="Z9" i="5"/>
  <c r="AC9" i="5" s="1"/>
  <c r="AA8" i="5"/>
  <c r="AD8" i="5" s="1"/>
  <c r="Z8" i="5"/>
  <c r="AC8" i="5" s="1"/>
  <c r="AA7" i="5"/>
  <c r="AD7" i="5" s="1"/>
  <c r="Z7" i="5"/>
  <c r="AC7" i="5" s="1"/>
  <c r="AA6" i="5"/>
  <c r="AD6" i="5" s="1"/>
  <c r="Z6" i="5"/>
  <c r="AC6" i="5" s="1"/>
  <c r="AA5" i="5"/>
  <c r="AD5" i="5" s="1"/>
  <c r="Y6" i="5"/>
  <c r="AB6" i="5" s="1"/>
  <c r="Y8" i="5"/>
  <c r="AB8" i="5" s="1"/>
  <c r="Y9" i="5"/>
  <c r="AB9" i="5" s="1"/>
  <c r="Y10" i="5"/>
  <c r="AB10" i="5" s="1"/>
  <c r="Q5" i="5"/>
  <c r="U6" i="5"/>
  <c r="V6" i="5"/>
  <c r="W6" i="5"/>
  <c r="U7" i="5"/>
  <c r="V7" i="5"/>
  <c r="W7" i="5"/>
  <c r="U8" i="5"/>
  <c r="V8" i="5"/>
  <c r="W8" i="5"/>
  <c r="U9" i="5"/>
  <c r="V9" i="5"/>
  <c r="W9" i="5"/>
  <c r="U10" i="5"/>
  <c r="V10" i="5"/>
  <c r="W10" i="5"/>
  <c r="W5" i="5"/>
  <c r="V5" i="5"/>
  <c r="S10" i="5"/>
  <c r="R10" i="5"/>
  <c r="S9" i="5"/>
  <c r="R9" i="5"/>
  <c r="Q9" i="5"/>
  <c r="S8" i="5"/>
  <c r="R8" i="5"/>
  <c r="Q8" i="5"/>
  <c r="S7" i="5"/>
  <c r="R7" i="5"/>
  <c r="Q7" i="5"/>
  <c r="S6" i="5"/>
  <c r="R6" i="5"/>
  <c r="Q6" i="5"/>
  <c r="S5" i="5"/>
  <c r="R5" i="5"/>
  <c r="N6" i="4"/>
  <c r="O6" i="4"/>
  <c r="P6" i="4"/>
  <c r="O7" i="4"/>
  <c r="P7" i="4"/>
  <c r="N8" i="4"/>
  <c r="O8" i="4"/>
  <c r="P8" i="4"/>
  <c r="N9" i="4"/>
  <c r="O9" i="4"/>
  <c r="P9" i="4"/>
  <c r="N10" i="4"/>
  <c r="O10" i="4"/>
  <c r="P10" i="4"/>
  <c r="N6" i="3"/>
  <c r="O6" i="3"/>
  <c r="P6" i="3"/>
  <c r="N7" i="3"/>
  <c r="O7" i="3"/>
  <c r="P7" i="3"/>
  <c r="N8" i="3"/>
  <c r="O8" i="3"/>
  <c r="P8" i="3"/>
  <c r="N9" i="3"/>
  <c r="O9" i="3"/>
  <c r="P9" i="3"/>
  <c r="N10" i="3"/>
  <c r="P10" i="3"/>
  <c r="P11" i="3"/>
  <c r="P5" i="3"/>
  <c r="N5" i="3"/>
  <c r="L11" i="4"/>
  <c r="D9" i="6"/>
  <c r="J11" i="5"/>
  <c r="I11" i="5"/>
  <c r="H11" i="5"/>
  <c r="G11" i="5"/>
  <c r="F11" i="5"/>
  <c r="E11" i="5"/>
  <c r="I11" i="4"/>
  <c r="H11" i="4"/>
  <c r="G11" i="4"/>
  <c r="F11" i="4"/>
  <c r="E11" i="4"/>
  <c r="L11" i="3"/>
  <c r="K11" i="3"/>
  <c r="I11" i="3"/>
  <c r="H11" i="3"/>
  <c r="G11" i="3"/>
  <c r="F11" i="3"/>
  <c r="E11" i="3"/>
  <c r="F9" i="7"/>
  <c r="F6" i="7"/>
  <c r="F10" i="7"/>
  <c r="E10" i="7"/>
  <c r="F8" i="7"/>
  <c r="F7" i="7"/>
  <c r="F5" i="7"/>
  <c r="D9" i="7"/>
  <c r="D8" i="7"/>
  <c r="F9" i="6"/>
  <c r="E9" i="6"/>
  <c r="F6" i="6"/>
  <c r="E6" i="6"/>
  <c r="D6" i="6"/>
  <c r="F10" i="6"/>
  <c r="E10" i="6"/>
  <c r="D10" i="6"/>
  <c r="F8" i="6"/>
  <c r="E8" i="6"/>
  <c r="D8" i="6"/>
  <c r="F7" i="6"/>
  <c r="E7" i="6"/>
  <c r="D7" i="6"/>
  <c r="F5" i="6"/>
  <c r="E5" i="6"/>
  <c r="D5" i="6"/>
  <c r="E9" i="7"/>
  <c r="D6" i="7"/>
  <c r="E6" i="7"/>
  <c r="D10" i="7"/>
  <c r="E8" i="7"/>
  <c r="J7" i="4"/>
  <c r="D7" i="7" s="1"/>
  <c r="J5" i="4"/>
  <c r="D5" i="7" s="1"/>
  <c r="K5" i="4"/>
  <c r="E5" i="7" s="1"/>
  <c r="R11" i="5" l="1"/>
  <c r="P11" i="4"/>
  <c r="N7" i="5"/>
  <c r="N7" i="4"/>
  <c r="W11" i="5"/>
  <c r="N5" i="5"/>
  <c r="N5" i="4"/>
  <c r="Y7" i="5"/>
  <c r="AB7" i="5" s="1"/>
  <c r="O5" i="5"/>
  <c r="O5" i="4"/>
  <c r="AA11" i="5"/>
  <c r="AD11" i="5" s="1"/>
  <c r="Z5" i="5"/>
  <c r="AC5" i="5" s="1"/>
  <c r="Y5" i="5"/>
  <c r="AB5" i="5" s="1"/>
  <c r="P11" i="5"/>
  <c r="S11" i="5"/>
  <c r="O11" i="3"/>
  <c r="V11" i="5"/>
  <c r="Q11" i="5"/>
  <c r="F11" i="6"/>
  <c r="J11" i="4"/>
  <c r="J11" i="3"/>
  <c r="E11" i="6"/>
  <c r="K11" i="4"/>
  <c r="E7" i="7"/>
  <c r="Z11" i="5" l="1"/>
  <c r="AC11" i="5" s="1"/>
  <c r="N11" i="5"/>
  <c r="O11" i="5"/>
  <c r="Y11" i="5"/>
  <c r="AB11" i="5" s="1"/>
  <c r="N11" i="4"/>
  <c r="O11" i="4"/>
  <c r="N11" i="3"/>
  <c r="U11" i="5"/>
</calcChain>
</file>

<file path=xl/sharedStrings.xml><?xml version="1.0" encoding="utf-8"?>
<sst xmlns="http://schemas.openxmlformats.org/spreadsheetml/2006/main" count="115" uniqueCount="50">
  <si>
    <t>As on March 31</t>
  </si>
  <si>
    <t>(₹ Crore)</t>
  </si>
  <si>
    <t>Sr. No.</t>
  </si>
  <si>
    <t>Banks</t>
  </si>
  <si>
    <t>Deposits</t>
  </si>
  <si>
    <t>Investments</t>
  </si>
  <si>
    <t>Airtel Payments Bank Ltd.</t>
  </si>
  <si>
    <t>India Post Payments Bank Ltd.</t>
  </si>
  <si>
    <t>Jio Payments Bank Ltd.</t>
  </si>
  <si>
    <t xml:space="preserve">Paytm Payments Bank Ltd. </t>
  </si>
  <si>
    <t>Fino Payments Bank Ltd.</t>
  </si>
  <si>
    <t>NSDL Payment Bank Ltd.</t>
  </si>
  <si>
    <t>TOTAL OF PAYMENT BANKS [II]</t>
  </si>
  <si>
    <t>Total Assets</t>
  </si>
  <si>
    <t>Interest Income</t>
  </si>
  <si>
    <t>Other Income</t>
  </si>
  <si>
    <t>Total Income</t>
  </si>
  <si>
    <t xml:space="preserve">As on March 31                                                                                                                                                                       </t>
  </si>
  <si>
    <t>Interest Expended</t>
  </si>
  <si>
    <t>Operating Expenses</t>
  </si>
  <si>
    <t>Total Expenditure *</t>
  </si>
  <si>
    <t>Operating Profit</t>
  </si>
  <si>
    <t>Provisions &amp; Contingencies</t>
  </si>
  <si>
    <t>Net Profit</t>
  </si>
  <si>
    <t>Investment Deposit Ratio</t>
  </si>
  <si>
    <t>Spread as % to Total Assets</t>
  </si>
  <si>
    <t xml:space="preserve">TOTAL OF PAYMENT BANKS </t>
  </si>
  <si>
    <t>TOTAL OF PAYMENT BANKS</t>
  </si>
  <si>
    <t>Operating Exp. as % to Total Expenses</t>
  </si>
  <si>
    <t>Return on Assets [%]</t>
  </si>
  <si>
    <t>* For the purpose of computing Return on Assets, denominator represent average of total assets (excluding accumulated losses, if any) as reported to Reserve Bank of India in Form X under Section 27 of the Banking Regulation Act, 1949, during the 12 months of the financial year.</t>
  </si>
  <si>
    <t>(Per Cent)</t>
  </si>
  <si>
    <t>(₹ Lacs)</t>
  </si>
  <si>
    <t>Net NPA as % to Net Advances</t>
  </si>
  <si>
    <t>Business Per Employee</t>
  </si>
  <si>
    <t>Profit Per Employee</t>
  </si>
  <si>
    <t xml:space="preserve">Jio Payments Bank Ltd. </t>
  </si>
  <si>
    <t>PPE given in Cr</t>
  </si>
  <si>
    <t>* Excludes Provisions &amp; Contingencies.</t>
  </si>
  <si>
    <r>
      <t xml:space="preserve"> </t>
    </r>
    <r>
      <rPr>
        <b/>
        <sz val="16"/>
        <rFont val="Arial Narrow"/>
        <family val="2"/>
      </rPr>
      <t>Statement VIII : Payment Banks : Ratios</t>
    </r>
  </si>
  <si>
    <t xml:space="preserve"> Statement I : Payment Banks : Deposits/Investments/Advances</t>
  </si>
  <si>
    <t xml:space="preserve">Capital Adequacy Ratio -  Basel III [%] </t>
  </si>
  <si>
    <t>(In Per cent)</t>
  </si>
  <si>
    <t>Statement II : Payment Banks : Income</t>
  </si>
  <si>
    <r>
      <t xml:space="preserve"> </t>
    </r>
    <r>
      <rPr>
        <b/>
        <sz val="16"/>
        <rFont val="Arial Narrow"/>
        <family val="2"/>
      </rPr>
      <t>Statement III : Payment Banks : Expenditure</t>
    </r>
  </si>
  <si>
    <t xml:space="preserve"> Statement IV : Payment Banks : Profit</t>
  </si>
  <si>
    <r>
      <t xml:space="preserve"> </t>
    </r>
    <r>
      <rPr>
        <b/>
        <sz val="16"/>
        <rFont val="Arial Narrow"/>
        <family val="2"/>
      </rPr>
      <t>Statement V : Payment Banks : Ratios</t>
    </r>
  </si>
  <si>
    <t>Statement VI : Payment Banks : Ratios</t>
  </si>
  <si>
    <t>Jio Payments Bank Ltd. * #</t>
  </si>
  <si>
    <t xml:space="preserve"># Bank's RCA (Networth/Risk Weighted Assets) is above 100% because its Risk-Weighted Asset (RWA) (denominator) is very low compared to its Net worth(numerator). This happens because a large portion of Jio Payments Bank(JPB)'s assets such as investments in Government securities,  RBI balance and Repo lending carry a 0% risk weight. Consequently, these assets contribute minimally to Risk Weighted Assets(RWA) thereby leading to a much higher RCA.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</si>
</sst>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_);\(0\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 Narrow"/>
      <family val="2"/>
    </font>
    <font>
      <sz val="12"/>
      <color theme="1"/>
      <name val="Arial Narrow"/>
      <family val="2"/>
    </font>
    <font>
      <sz val="12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sz val="16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rgb="FF7030A0"/>
      <name val="Arial Narrow"/>
      <family val="2"/>
    </font>
    <font>
      <b/>
      <i/>
      <sz val="10"/>
      <name val="Arial Narrow"/>
      <family val="2"/>
    </font>
    <font>
      <b/>
      <sz val="10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 applyFill="0" applyBorder="0"/>
    <xf numFmtId="0" fontId="4" fillId="0" borderId="0"/>
    <xf numFmtId="0" fontId="1" fillId="0" borderId="0" applyFill="0" applyBorder="0"/>
    <xf numFmtId="0" fontId="1" fillId="0" borderId="0"/>
    <xf numFmtId="0" fontId="1" fillId="0" borderId="0" applyFill="0" applyBorder="0"/>
  </cellStyleXfs>
  <cellXfs count="166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6" xfId="0" applyNumberFormat="1" applyFont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6" fillId="0" borderId="12" xfId="0" applyNumberFormat="1" applyFont="1" applyBorder="1" applyAlignment="1">
      <alignment vertical="center"/>
    </xf>
    <xf numFmtId="3" fontId="7" fillId="0" borderId="18" xfId="0" applyNumberFormat="1" applyFont="1" applyBorder="1" applyAlignment="1">
      <alignment vertical="center"/>
    </xf>
    <xf numFmtId="3" fontId="7" fillId="0" borderId="19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" fontId="3" fillId="0" borderId="15" xfId="0" applyNumberFormat="1" applyFont="1" applyBorder="1" applyAlignment="1">
      <alignment vertical="center"/>
    </xf>
    <xf numFmtId="3" fontId="3" fillId="0" borderId="16" xfId="0" applyNumberFormat="1" applyFont="1" applyBorder="1" applyAlignment="1">
      <alignment vertical="center"/>
    </xf>
    <xf numFmtId="1" fontId="7" fillId="0" borderId="18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2" xfId="2" applyFont="1" applyBorder="1" applyAlignment="1">
      <alignment vertical="center"/>
    </xf>
    <xf numFmtId="4" fontId="3" fillId="0" borderId="12" xfId="0" applyNumberFormat="1" applyFont="1" applyBorder="1" applyAlignment="1">
      <alignment vertical="center"/>
    </xf>
    <xf numFmtId="1" fontId="3" fillId="0" borderId="12" xfId="0" applyNumberFormat="1" applyFont="1" applyBorder="1" applyAlignment="1">
      <alignment vertical="center"/>
    </xf>
    <xf numFmtId="0" fontId="5" fillId="0" borderId="11" xfId="2" applyFont="1" applyBorder="1" applyAlignment="1">
      <alignment horizontal="left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4" fontId="6" fillId="0" borderId="15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3" fillId="0" borderId="13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165" fontId="3" fillId="0" borderId="12" xfId="0" applyNumberFormat="1" applyFont="1" applyBorder="1" applyAlignment="1">
      <alignment vertical="center"/>
    </xf>
    <xf numFmtId="165" fontId="3" fillId="0" borderId="13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7" fillId="0" borderId="18" xfId="0" applyNumberFormat="1" applyFont="1" applyBorder="1" applyAlignment="1">
      <alignment vertical="center"/>
    </xf>
    <xf numFmtId="4" fontId="3" fillId="0" borderId="7" xfId="0" applyNumberFormat="1" applyFont="1" applyBorder="1" applyAlignment="1">
      <alignment vertical="center"/>
    </xf>
    <xf numFmtId="4" fontId="3" fillId="0" borderId="13" xfId="0" applyNumberFormat="1" applyFont="1" applyBorder="1" applyAlignment="1">
      <alignment horizontal="right" vertical="center"/>
    </xf>
    <xf numFmtId="4" fontId="7" fillId="0" borderId="19" xfId="0" applyNumberFormat="1" applyFont="1" applyBorder="1" applyAlignment="1">
      <alignment horizontal="right" vertical="center"/>
    </xf>
    <xf numFmtId="4" fontId="3" fillId="0" borderId="12" xfId="0" applyNumberFormat="1" applyFont="1" applyBorder="1" applyAlignment="1">
      <alignment horizontal="right" vertical="center"/>
    </xf>
    <xf numFmtId="4" fontId="3" fillId="0" borderId="15" xfId="0" applyNumberFormat="1" applyFont="1" applyBorder="1" applyAlignment="1">
      <alignment vertical="center"/>
    </xf>
    <xf numFmtId="4" fontId="3" fillId="0" borderId="15" xfId="0" applyNumberFormat="1" applyFont="1" applyBorder="1" applyAlignment="1">
      <alignment horizontal="right" vertical="center"/>
    </xf>
    <xf numFmtId="4" fontId="3" fillId="0" borderId="16" xfId="0" applyNumberFormat="1" applyFont="1" applyBorder="1" applyAlignment="1">
      <alignment horizontal="right" vertical="center"/>
    </xf>
    <xf numFmtId="4" fontId="7" fillId="0" borderId="18" xfId="0" applyNumberFormat="1" applyFont="1" applyBorder="1" applyAlignment="1">
      <alignment vertical="center"/>
    </xf>
    <xf numFmtId="4" fontId="7" fillId="0" borderId="18" xfId="0" applyNumberFormat="1" applyFont="1" applyBorder="1" applyAlignment="1">
      <alignment horizontal="right" vertical="center"/>
    </xf>
    <xf numFmtId="4" fontId="3" fillId="0" borderId="6" xfId="0" applyNumberFormat="1" applyFont="1" applyBorder="1" applyAlignment="1">
      <alignment vertical="center"/>
    </xf>
    <xf numFmtId="4" fontId="3" fillId="0" borderId="6" xfId="0" applyNumberFormat="1" applyFont="1" applyBorder="1" applyAlignment="1">
      <alignment horizontal="right" vertical="center"/>
    </xf>
    <xf numFmtId="164" fontId="6" fillId="0" borderId="12" xfId="0" applyNumberFormat="1" applyFont="1" applyBorder="1" applyAlignment="1">
      <alignment vertical="center"/>
    </xf>
    <xf numFmtId="0" fontId="3" fillId="0" borderId="0" xfId="0" applyFont="1"/>
    <xf numFmtId="2" fontId="3" fillId="0" borderId="12" xfId="0" applyNumberFormat="1" applyFont="1" applyBorder="1" applyAlignment="1">
      <alignment horizontal="right" vertical="center"/>
    </xf>
    <xf numFmtId="164" fontId="3" fillId="0" borderId="12" xfId="0" applyNumberFormat="1" applyFont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12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3" fontId="13" fillId="0" borderId="12" xfId="0" applyNumberFormat="1" applyFont="1" applyBorder="1" applyAlignment="1">
      <alignment vertical="center"/>
    </xf>
    <xf numFmtId="4" fontId="6" fillId="0" borderId="6" xfId="0" applyNumberFormat="1" applyFont="1" applyBorder="1" applyAlignment="1">
      <alignment vertical="center"/>
    </xf>
    <xf numFmtId="2" fontId="3" fillId="0" borderId="12" xfId="0" applyNumberFormat="1" applyFont="1" applyBorder="1" applyAlignment="1">
      <alignment vertical="center"/>
    </xf>
    <xf numFmtId="4" fontId="6" fillId="0" borderId="1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" fontId="0" fillId="0" borderId="0" xfId="0" applyNumberFormat="1"/>
    <xf numFmtId="0" fontId="14" fillId="0" borderId="0" xfId="2" applyFont="1" applyAlignment="1">
      <alignment horizontal="left" vertical="center"/>
    </xf>
    <xf numFmtId="4" fontId="3" fillId="0" borderId="7" xfId="0" applyNumberFormat="1" applyFont="1" applyBorder="1" applyAlignment="1">
      <alignment horizontal="right" vertical="center"/>
    </xf>
    <xf numFmtId="0" fontId="5" fillId="0" borderId="34" xfId="2" applyFont="1" applyBorder="1" applyAlignment="1">
      <alignment horizontal="center" vertical="center"/>
    </xf>
    <xf numFmtId="4" fontId="3" fillId="0" borderId="35" xfId="0" applyNumberFormat="1" applyFont="1" applyBorder="1" applyAlignment="1">
      <alignment vertical="center"/>
    </xf>
    <xf numFmtId="4" fontId="3" fillId="0" borderId="23" xfId="0" applyNumberFormat="1" applyFont="1" applyBorder="1" applyAlignment="1">
      <alignment vertical="center"/>
    </xf>
    <xf numFmtId="4" fontId="3" fillId="0" borderId="36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2" fontId="3" fillId="0" borderId="23" xfId="0" applyNumberFormat="1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3" fontId="3" fillId="0" borderId="38" xfId="0" applyNumberFormat="1" applyFont="1" applyBorder="1" applyAlignment="1">
      <alignment horizontal="center" vertical="center"/>
    </xf>
    <xf numFmtId="4" fontId="3" fillId="0" borderId="9" xfId="0" applyNumberFormat="1" applyFont="1" applyBorder="1" applyAlignment="1">
      <alignment vertical="center"/>
    </xf>
    <xf numFmtId="4" fontId="3" fillId="0" borderId="9" xfId="0" applyNumberFormat="1" applyFont="1" applyBorder="1" applyAlignment="1">
      <alignment horizontal="right" vertical="center"/>
    </xf>
    <xf numFmtId="164" fontId="6" fillId="0" borderId="9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2" fillId="0" borderId="20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5" fillId="0" borderId="25" xfId="3" applyNumberFormat="1" applyFont="1" applyFill="1" applyBorder="1" applyAlignment="1">
      <alignment horizontal="right" vertical="center"/>
    </xf>
    <xf numFmtId="164" fontId="5" fillId="0" borderId="24" xfId="3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5" fillId="0" borderId="14" xfId="2" applyFont="1" applyBorder="1" applyAlignment="1">
      <alignment horizontal="center" vertical="center" wrapText="1"/>
    </xf>
    <xf numFmtId="0" fontId="5" fillId="0" borderId="28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26" xfId="2" applyFont="1" applyBorder="1" applyAlignment="1">
      <alignment horizontal="left" vertical="center"/>
    </xf>
    <xf numFmtId="0" fontId="5" fillId="0" borderId="23" xfId="2" applyFont="1" applyBorder="1" applyAlignment="1">
      <alignment horizontal="left" vertical="center"/>
    </xf>
    <xf numFmtId="0" fontId="5" fillId="0" borderId="27" xfId="2" applyFont="1" applyBorder="1" applyAlignment="1">
      <alignment horizontal="right" vertical="center"/>
    </xf>
    <xf numFmtId="0" fontId="5" fillId="0" borderId="25" xfId="2" applyFont="1" applyBorder="1" applyAlignment="1">
      <alignment horizontal="right" vertical="center"/>
    </xf>
    <xf numFmtId="0" fontId="5" fillId="0" borderId="24" xfId="2" applyFont="1" applyBorder="1" applyAlignment="1">
      <alignment horizontal="right" vertical="center"/>
    </xf>
    <xf numFmtId="0" fontId="5" fillId="0" borderId="12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5" fillId="0" borderId="27" xfId="3" applyNumberFormat="1" applyFont="1" applyFill="1" applyBorder="1" applyAlignment="1">
      <alignment horizontal="right"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21" xfId="1" applyFont="1" applyFill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164" fontId="5" fillId="0" borderId="32" xfId="3" applyNumberFormat="1" applyFont="1" applyFill="1" applyBorder="1" applyAlignment="1">
      <alignment horizontal="right" vertical="center"/>
    </xf>
    <xf numFmtId="164" fontId="5" fillId="0" borderId="33" xfId="3" applyNumberFormat="1" applyFont="1" applyFill="1" applyBorder="1" applyAlignment="1">
      <alignment horizontal="right" vertical="center"/>
    </xf>
    <xf numFmtId="0" fontId="5" fillId="0" borderId="4" xfId="2" applyFont="1" applyBorder="1" applyAlignment="1">
      <alignment horizontal="left" vertical="center"/>
    </xf>
    <xf numFmtId="0" fontId="5" fillId="0" borderId="35" xfId="2" applyFont="1" applyBorder="1" applyAlignment="1">
      <alignment horizontal="left" vertical="center"/>
    </xf>
    <xf numFmtId="0" fontId="5" fillId="0" borderId="12" xfId="1" applyFont="1" applyFill="1" applyBorder="1" applyAlignment="1">
      <alignment horizontal="center" vertical="center"/>
    </xf>
    <xf numFmtId="164" fontId="5" fillId="0" borderId="23" xfId="3" applyNumberFormat="1" applyFont="1" applyFill="1" applyBorder="1" applyAlignment="1">
      <alignment horizontal="right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164" fontId="5" fillId="0" borderId="27" xfId="5" applyNumberFormat="1" applyFont="1" applyFill="1" applyBorder="1" applyAlignment="1">
      <alignment horizontal="right" vertical="center"/>
    </xf>
    <xf numFmtId="164" fontId="5" fillId="0" borderId="25" xfId="5" applyNumberFormat="1" applyFont="1" applyFill="1" applyBorder="1" applyAlignment="1">
      <alignment horizontal="right" vertical="center"/>
    </xf>
    <xf numFmtId="164" fontId="5" fillId="0" borderId="23" xfId="5" applyNumberFormat="1" applyFont="1" applyFill="1" applyBorder="1" applyAlignment="1">
      <alignment horizontal="right" vertical="center"/>
    </xf>
    <xf numFmtId="0" fontId="5" fillId="0" borderId="30" xfId="2" applyFont="1" applyBorder="1" applyAlignment="1">
      <alignment horizontal="center" vertical="center" wrapText="1"/>
    </xf>
    <xf numFmtId="0" fontId="5" fillId="0" borderId="31" xfId="2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7" fillId="0" borderId="27" xfId="0" applyFont="1" applyBorder="1" applyAlignment="1">
      <alignment horizontal="center" vertical="center"/>
    </xf>
    <xf numFmtId="0" fontId="5" fillId="0" borderId="11" xfId="2" applyFont="1" applyBorder="1" applyAlignment="1">
      <alignment horizontal="left" vertical="center"/>
    </xf>
    <xf numFmtId="0" fontId="5" fillId="0" borderId="12" xfId="2" applyFont="1" applyBorder="1" applyAlignment="1">
      <alignment horizontal="left" vertical="center"/>
    </xf>
    <xf numFmtId="0" fontId="5" fillId="0" borderId="23" xfId="2" applyFont="1" applyBorder="1" applyAlignment="1">
      <alignment horizontal="right" vertical="center"/>
    </xf>
  </cellXfs>
  <cellStyles count="6">
    <cellStyle name="Normal" xfId="0" builtinId="0"/>
    <cellStyle name="Normal 2" xfId="1" xr:uid="{06443D72-8B74-427E-B787-5AB520D22093}"/>
    <cellStyle name="Normal 3" xfId="3" xr:uid="{91734320-8FCA-47B1-8C44-A2C8D755DD75}"/>
    <cellStyle name="Normal 3 2" xfId="5" xr:uid="{C2F34479-0C33-45C4-BBF0-4DD0E03A8F2D}"/>
    <cellStyle name="Normal 5" xfId="4" xr:uid="{6C72B36F-964D-4881-BB71-F33AEA6D2720}"/>
    <cellStyle name="Normal_Sheet1" xfId="2" xr:uid="{C51AAD7E-D2EE-4255-A0DC-8F2F0903C0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9"/>
  <sheetViews>
    <sheetView zoomScaleNormal="100" workbookViewId="0">
      <selection activeCell="K14" sqref="K14"/>
    </sheetView>
  </sheetViews>
  <sheetFormatPr defaultColWidth="9.33203125" defaultRowHeight="18.600000000000001" customHeight="1" x14ac:dyDescent="0.3"/>
  <cols>
    <col min="1" max="1" width="17.44140625" style="1" customWidth="1"/>
    <col min="2" max="2" width="8.5546875" style="18" customWidth="1"/>
    <col min="3" max="3" width="30.21875" style="1" customWidth="1"/>
    <col min="4" max="9" width="10.5546875" style="1" customWidth="1"/>
    <col min="10" max="11" width="10" customWidth="1"/>
    <col min="12" max="12" width="10.6640625" customWidth="1"/>
    <col min="13" max="13" width="9.33203125" style="1"/>
    <col min="14" max="14" width="11.21875" style="1" customWidth="1"/>
    <col min="15" max="16384" width="9.33203125" style="1"/>
  </cols>
  <sheetData>
    <row r="1" spans="2:14" ht="20.399999999999999" customHeight="1" x14ac:dyDescent="0.3">
      <c r="B1" s="98" t="s">
        <v>40</v>
      </c>
      <c r="C1" s="99"/>
      <c r="D1" s="99"/>
      <c r="E1" s="99"/>
      <c r="F1" s="99"/>
      <c r="G1" s="99"/>
      <c r="H1" s="99"/>
      <c r="I1" s="99"/>
      <c r="J1" s="99"/>
      <c r="K1" s="99"/>
      <c r="L1" s="100"/>
    </row>
    <row r="2" spans="2:14" ht="18.600000000000001" customHeight="1" x14ac:dyDescent="0.3">
      <c r="B2" s="22" t="s">
        <v>0</v>
      </c>
      <c r="C2" s="19"/>
      <c r="D2" s="103" t="s">
        <v>1</v>
      </c>
      <c r="E2" s="103"/>
      <c r="F2" s="103"/>
      <c r="G2" s="103"/>
      <c r="H2" s="103"/>
      <c r="I2" s="103"/>
      <c r="J2" s="103"/>
      <c r="K2" s="103"/>
      <c r="L2" s="104"/>
    </row>
    <row r="3" spans="2:14" ht="36" customHeight="1" x14ac:dyDescent="0.3">
      <c r="B3" s="106" t="s">
        <v>2</v>
      </c>
      <c r="C3" s="108" t="s">
        <v>3</v>
      </c>
      <c r="D3" s="101" t="s">
        <v>4</v>
      </c>
      <c r="E3" s="101"/>
      <c r="F3" s="101"/>
      <c r="G3" s="101" t="s">
        <v>5</v>
      </c>
      <c r="H3" s="101"/>
      <c r="I3" s="101"/>
      <c r="J3" s="101" t="s">
        <v>13</v>
      </c>
      <c r="K3" s="101"/>
      <c r="L3" s="102"/>
      <c r="M3" s="2"/>
      <c r="N3" s="2"/>
    </row>
    <row r="4" spans="2:14" s="5" customFormat="1" ht="18.600000000000001" customHeight="1" thickBot="1" x14ac:dyDescent="0.35">
      <c r="B4" s="107"/>
      <c r="C4" s="109"/>
      <c r="D4" s="3">
        <v>2023</v>
      </c>
      <c r="E4" s="3">
        <v>2024</v>
      </c>
      <c r="F4" s="3">
        <v>2025</v>
      </c>
      <c r="G4" s="3">
        <v>2023</v>
      </c>
      <c r="H4" s="3">
        <v>2024</v>
      </c>
      <c r="I4" s="3">
        <v>2025</v>
      </c>
      <c r="J4" s="3">
        <v>2023</v>
      </c>
      <c r="K4" s="3">
        <v>2024</v>
      </c>
      <c r="L4" s="4">
        <v>2025</v>
      </c>
    </row>
    <row r="5" spans="2:14" ht="18.600000000000001" customHeight="1" x14ac:dyDescent="0.3">
      <c r="B5" s="24">
        <v>1</v>
      </c>
      <c r="C5" s="25" t="s">
        <v>6</v>
      </c>
      <c r="D5" s="6">
        <v>1678.95</v>
      </c>
      <c r="E5" s="6">
        <v>2630.54</v>
      </c>
      <c r="F5" s="6">
        <v>3418.06</v>
      </c>
      <c r="G5" s="6">
        <v>1631.27</v>
      </c>
      <c r="H5" s="6">
        <v>2623.76</v>
      </c>
      <c r="I5" s="6">
        <v>3293.99</v>
      </c>
      <c r="J5" s="6">
        <v>3026.45</v>
      </c>
      <c r="K5" s="6">
        <v>4697.6000000000004</v>
      </c>
      <c r="L5" s="7">
        <v>7511.08</v>
      </c>
    </row>
    <row r="6" spans="2:14" s="2" customFormat="1" ht="18.600000000000001" customHeight="1" x14ac:dyDescent="0.3">
      <c r="B6" s="23">
        <v>2</v>
      </c>
      <c r="C6" s="20" t="s">
        <v>10</v>
      </c>
      <c r="D6" s="8">
        <v>917.14700000000005</v>
      </c>
      <c r="E6" s="8">
        <v>1412.54</v>
      </c>
      <c r="F6" s="8">
        <v>1939.44</v>
      </c>
      <c r="G6" s="8">
        <v>1146.43</v>
      </c>
      <c r="H6" s="8">
        <v>1746.93</v>
      </c>
      <c r="I6" s="8">
        <v>2388.13</v>
      </c>
      <c r="J6" s="8">
        <v>2466.4</v>
      </c>
      <c r="K6" s="8">
        <v>3419.11</v>
      </c>
      <c r="L6" s="9">
        <v>4205.93</v>
      </c>
    </row>
    <row r="7" spans="2:14" s="2" customFormat="1" ht="18.600000000000001" customHeight="1" x14ac:dyDescent="0.3">
      <c r="B7" s="24">
        <v>3</v>
      </c>
      <c r="C7" s="20" t="s">
        <v>7</v>
      </c>
      <c r="D7" s="8">
        <v>6292.36</v>
      </c>
      <c r="E7" s="8">
        <v>11552.19</v>
      </c>
      <c r="F7" s="8">
        <v>19345.240000000002</v>
      </c>
      <c r="G7" s="8">
        <v>4599.1845999999996</v>
      </c>
      <c r="H7" s="8">
        <v>8839.4593000000004</v>
      </c>
      <c r="I7" s="8">
        <v>16536.79</v>
      </c>
      <c r="J7" s="8">
        <v>7620.72</v>
      </c>
      <c r="K7" s="8">
        <v>13662.76</v>
      </c>
      <c r="L7" s="9">
        <v>22907.27</v>
      </c>
    </row>
    <row r="8" spans="2:14" ht="18.600000000000001" customHeight="1" x14ac:dyDescent="0.3">
      <c r="B8" s="23">
        <v>4</v>
      </c>
      <c r="C8" s="20" t="s">
        <v>8</v>
      </c>
      <c r="D8" s="8">
        <v>26.97</v>
      </c>
      <c r="E8" s="8">
        <v>87.96</v>
      </c>
      <c r="F8" s="8">
        <v>295.23</v>
      </c>
      <c r="G8" s="8">
        <v>198.32</v>
      </c>
      <c r="H8" s="8">
        <v>190.8</v>
      </c>
      <c r="I8" s="8">
        <v>336.04</v>
      </c>
      <c r="J8" s="8">
        <v>212.8</v>
      </c>
      <c r="K8" s="8">
        <v>224.9</v>
      </c>
      <c r="L8" s="9">
        <v>523.87</v>
      </c>
    </row>
    <row r="9" spans="2:14" ht="18.600000000000001" customHeight="1" x14ac:dyDescent="0.3">
      <c r="B9" s="24">
        <v>5</v>
      </c>
      <c r="C9" s="27" t="s">
        <v>11</v>
      </c>
      <c r="D9" s="28">
        <v>21.73</v>
      </c>
      <c r="E9" s="28">
        <v>59.34</v>
      </c>
      <c r="F9" s="28">
        <v>178.87</v>
      </c>
      <c r="G9" s="28">
        <v>144.15</v>
      </c>
      <c r="H9" s="28">
        <v>149.88</v>
      </c>
      <c r="I9" s="28">
        <v>255.52</v>
      </c>
      <c r="J9" s="28">
        <v>391.92</v>
      </c>
      <c r="K9" s="28">
        <v>333.12</v>
      </c>
      <c r="L9" s="16">
        <v>515.57000000000005</v>
      </c>
    </row>
    <row r="10" spans="2:14" ht="18.600000000000001" customHeight="1" thickBot="1" x14ac:dyDescent="0.35">
      <c r="B10" s="23">
        <v>6</v>
      </c>
      <c r="C10" s="20" t="s">
        <v>9</v>
      </c>
      <c r="D10" s="8">
        <v>3285.27</v>
      </c>
      <c r="E10" s="8">
        <v>588.55999999999995</v>
      </c>
      <c r="F10" s="8">
        <v>429</v>
      </c>
      <c r="G10" s="8">
        <v>4687.34</v>
      </c>
      <c r="H10" s="8">
        <v>1075.7763</v>
      </c>
      <c r="I10" s="8">
        <v>1226</v>
      </c>
      <c r="J10" s="28">
        <v>9843.89</v>
      </c>
      <c r="K10" s="28">
        <v>2866</v>
      </c>
      <c r="L10" s="16">
        <v>1919</v>
      </c>
    </row>
    <row r="11" spans="2:14" ht="18.600000000000001" customHeight="1" thickBot="1" x14ac:dyDescent="0.35">
      <c r="B11" s="29"/>
      <c r="C11" s="30" t="s">
        <v>27</v>
      </c>
      <c r="D11" s="11">
        <f>SUM(D5:D10)</f>
        <v>12222.427</v>
      </c>
      <c r="E11" s="11">
        <f t="shared" ref="E11:L11" si="0">SUM(E5:E10)</f>
        <v>16331.13</v>
      </c>
      <c r="F11" s="11">
        <f t="shared" si="0"/>
        <v>25605.84</v>
      </c>
      <c r="G11" s="11">
        <f t="shared" si="0"/>
        <v>12406.694599999999</v>
      </c>
      <c r="H11" s="11">
        <f t="shared" si="0"/>
        <v>14626.605599999999</v>
      </c>
      <c r="I11" s="11">
        <f t="shared" si="0"/>
        <v>24036.47</v>
      </c>
      <c r="J11" s="11">
        <f t="shared" si="0"/>
        <v>23562.18</v>
      </c>
      <c r="K11" s="11">
        <f>SUM(K5:K10)</f>
        <v>25203.49</v>
      </c>
      <c r="L11" s="12">
        <f>SUM(L5:L10)</f>
        <v>37582.720000000001</v>
      </c>
    </row>
    <row r="13" spans="2:14" ht="16.8" customHeight="1" x14ac:dyDescent="0.3">
      <c r="B13" s="105">
        <v>1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  <row r="14" spans="2:14" ht="18.600000000000001" customHeight="1" x14ac:dyDescent="0.3">
      <c r="B14" s="1"/>
    </row>
    <row r="15" spans="2:14" ht="18.600000000000001" customHeight="1" x14ac:dyDescent="0.3">
      <c r="B15" s="1"/>
    </row>
    <row r="16" spans="2:14" ht="18.600000000000001" customHeight="1" x14ac:dyDescent="0.3">
      <c r="B16" s="1"/>
    </row>
    <row r="17" spans="2:2" ht="18.600000000000001" customHeight="1" x14ac:dyDescent="0.3">
      <c r="B17" s="1"/>
    </row>
    <row r="18" spans="2:2" ht="18.600000000000001" customHeight="1" x14ac:dyDescent="0.3">
      <c r="B18" s="1"/>
    </row>
    <row r="19" spans="2:2" ht="18.600000000000001" customHeight="1" x14ac:dyDescent="0.3">
      <c r="B19" s="1"/>
    </row>
  </sheetData>
  <mergeCells count="8">
    <mergeCell ref="B1:L1"/>
    <mergeCell ref="J3:L3"/>
    <mergeCell ref="D2:L2"/>
    <mergeCell ref="B13:L13"/>
    <mergeCell ref="B3:B4"/>
    <mergeCell ref="C3:C4"/>
    <mergeCell ref="D3:F3"/>
    <mergeCell ref="G3:I3"/>
  </mergeCells>
  <pageMargins left="0.7" right="0.7" top="0.75" bottom="0.75" header="0.3" footer="0.3"/>
  <pageSetup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9B3-F6A8-4F1D-8360-81364BADF8A3}">
  <dimension ref="B1:P15"/>
  <sheetViews>
    <sheetView zoomScaleNormal="100" workbookViewId="0">
      <selection activeCell="E11" sqref="E11"/>
    </sheetView>
  </sheetViews>
  <sheetFormatPr defaultColWidth="9.33203125" defaultRowHeight="15.6" x14ac:dyDescent="0.3"/>
  <cols>
    <col min="1" max="1" width="22.5546875" style="1" customWidth="1"/>
    <col min="2" max="2" width="7.88671875" style="1" customWidth="1"/>
    <col min="3" max="3" width="28.44140625" style="1" customWidth="1"/>
    <col min="4" max="6" width="10.33203125" style="1" customWidth="1"/>
    <col min="7" max="9" width="10.21875" style="1" customWidth="1"/>
    <col min="10" max="10" width="10" style="1" customWidth="1"/>
    <col min="11" max="11" width="10.6640625" style="1" customWidth="1"/>
    <col min="12" max="12" width="11" style="1" customWidth="1"/>
    <col min="13" max="13" width="9.33203125" style="1"/>
    <col min="14" max="16" width="8" style="1" hidden="1" customWidth="1"/>
    <col min="17" max="16384" width="9.33203125" style="1"/>
  </cols>
  <sheetData>
    <row r="1" spans="2:16" ht="20.399999999999999" x14ac:dyDescent="0.3">
      <c r="B1" s="98" t="s">
        <v>43</v>
      </c>
      <c r="C1" s="99"/>
      <c r="D1" s="99"/>
      <c r="E1" s="99"/>
      <c r="F1" s="99"/>
      <c r="G1" s="99"/>
      <c r="H1" s="99"/>
      <c r="I1" s="99"/>
      <c r="J1" s="99"/>
      <c r="K1" s="99"/>
      <c r="L1" s="100"/>
    </row>
    <row r="2" spans="2:16" ht="17.399999999999999" customHeight="1" x14ac:dyDescent="0.3">
      <c r="B2" s="110" t="s">
        <v>0</v>
      </c>
      <c r="C2" s="111"/>
      <c r="D2" s="112" t="s">
        <v>1</v>
      </c>
      <c r="E2" s="113"/>
      <c r="F2" s="113"/>
      <c r="G2" s="113"/>
      <c r="H2" s="113"/>
      <c r="I2" s="113"/>
      <c r="J2" s="113"/>
      <c r="K2" s="113"/>
      <c r="L2" s="114"/>
    </row>
    <row r="3" spans="2:16" ht="34.200000000000003" customHeight="1" x14ac:dyDescent="0.3">
      <c r="B3" s="117" t="s">
        <v>2</v>
      </c>
      <c r="C3" s="115" t="s">
        <v>3</v>
      </c>
      <c r="D3" s="119" t="s">
        <v>14</v>
      </c>
      <c r="E3" s="119"/>
      <c r="F3" s="119"/>
      <c r="G3" s="101" t="s">
        <v>15</v>
      </c>
      <c r="H3" s="101"/>
      <c r="I3" s="101"/>
      <c r="J3" s="101" t="s">
        <v>16</v>
      </c>
      <c r="K3" s="101"/>
      <c r="L3" s="102"/>
    </row>
    <row r="4" spans="2:16" ht="18.600000000000001" customHeight="1" thickBot="1" x14ac:dyDescent="0.35">
      <c r="B4" s="118"/>
      <c r="C4" s="116"/>
      <c r="D4" s="3">
        <v>2023</v>
      </c>
      <c r="E4" s="3">
        <v>2024</v>
      </c>
      <c r="F4" s="3">
        <v>2025</v>
      </c>
      <c r="G4" s="3">
        <v>2023</v>
      </c>
      <c r="H4" s="3">
        <v>2024</v>
      </c>
      <c r="I4" s="3">
        <v>2025</v>
      </c>
      <c r="J4" s="3">
        <v>2023</v>
      </c>
      <c r="K4" s="3">
        <v>2024</v>
      </c>
      <c r="L4" s="4">
        <v>2025</v>
      </c>
    </row>
    <row r="5" spans="2:16" ht="18.600000000000001" customHeight="1" x14ac:dyDescent="0.3">
      <c r="B5" s="24">
        <v>1</v>
      </c>
      <c r="C5" s="25" t="s">
        <v>6</v>
      </c>
      <c r="D5" s="6">
        <v>96.13</v>
      </c>
      <c r="E5" s="6">
        <v>165.11</v>
      </c>
      <c r="F5" s="6">
        <v>252.71</v>
      </c>
      <c r="G5" s="6">
        <v>1194.95</v>
      </c>
      <c r="H5" s="6">
        <v>1670.69</v>
      </c>
      <c r="I5" s="6">
        <v>2455.92</v>
      </c>
      <c r="J5" s="6">
        <v>1291.08</v>
      </c>
      <c r="K5" s="6">
        <v>1835.8</v>
      </c>
      <c r="L5" s="7">
        <v>2708.63</v>
      </c>
      <c r="N5" s="66">
        <f>D5+G5-J5</f>
        <v>0</v>
      </c>
      <c r="O5" s="66">
        <f>E5+H5-K5</f>
        <v>0</v>
      </c>
      <c r="P5" s="66">
        <f t="shared" ref="P5" si="0">F5+I5-L5</f>
        <v>0</v>
      </c>
    </row>
    <row r="6" spans="2:16" s="2" customFormat="1" ht="18.600000000000001" customHeight="1" x14ac:dyDescent="0.3">
      <c r="B6" s="23">
        <v>2</v>
      </c>
      <c r="C6" s="20" t="s">
        <v>10</v>
      </c>
      <c r="D6" s="8">
        <v>94.864900000000006</v>
      </c>
      <c r="E6" s="8">
        <v>150.05000000000001</v>
      </c>
      <c r="F6" s="8">
        <v>195.23</v>
      </c>
      <c r="G6" s="8">
        <v>1135.05</v>
      </c>
      <c r="H6" s="8">
        <v>1328.34</v>
      </c>
      <c r="I6" s="8">
        <v>1651.87</v>
      </c>
      <c r="J6" s="8">
        <v>1229.9100000000001</v>
      </c>
      <c r="K6" s="8">
        <v>1478.38</v>
      </c>
      <c r="L6" s="9">
        <v>1847.1</v>
      </c>
      <c r="N6" s="69">
        <f t="shared" ref="N6:N11" si="1">D6+G6-J6</f>
        <v>4.8999999999068677E-3</v>
      </c>
      <c r="O6" s="69">
        <f t="shared" ref="O6:O11" si="2">E6+H6-K6</f>
        <v>9.9999999997635314E-3</v>
      </c>
      <c r="P6" s="69">
        <f t="shared" ref="P6:P11" si="3">F6+I6-L6</f>
        <v>0</v>
      </c>
    </row>
    <row r="7" spans="2:16" s="2" customFormat="1" ht="18.600000000000001" customHeight="1" x14ac:dyDescent="0.3">
      <c r="B7" s="24">
        <v>3</v>
      </c>
      <c r="C7" s="20" t="s">
        <v>7</v>
      </c>
      <c r="D7" s="8">
        <v>279.05</v>
      </c>
      <c r="E7" s="8">
        <v>607.58000000000004</v>
      </c>
      <c r="F7" s="8">
        <v>1122.8499999999999</v>
      </c>
      <c r="G7" s="8">
        <v>487.09800000000001</v>
      </c>
      <c r="H7" s="8">
        <v>657.71500000000003</v>
      </c>
      <c r="I7" s="8">
        <v>1025.27</v>
      </c>
      <c r="J7" s="8">
        <v>766.15</v>
      </c>
      <c r="K7" s="8">
        <v>1265.2909</v>
      </c>
      <c r="L7" s="9">
        <v>2148.12</v>
      </c>
      <c r="N7" s="69">
        <f t="shared" si="1"/>
        <v>-1.9999999999527063E-3</v>
      </c>
      <c r="O7" s="69">
        <f t="shared" si="2"/>
        <v>4.1000000001076842E-3</v>
      </c>
      <c r="P7" s="69">
        <f t="shared" si="3"/>
        <v>0</v>
      </c>
    </row>
    <row r="8" spans="2:16" ht="18.600000000000001" customHeight="1" x14ac:dyDescent="0.3">
      <c r="B8" s="23">
        <v>4</v>
      </c>
      <c r="C8" s="20" t="s">
        <v>8</v>
      </c>
      <c r="D8" s="8">
        <v>7.93</v>
      </c>
      <c r="E8" s="8">
        <v>13.07</v>
      </c>
      <c r="F8" s="8">
        <v>20.53</v>
      </c>
      <c r="G8" s="8">
        <v>5.94</v>
      </c>
      <c r="H8" s="8">
        <v>18.25</v>
      </c>
      <c r="I8" s="8">
        <v>17.71</v>
      </c>
      <c r="J8" s="8">
        <v>13.863300000000001</v>
      </c>
      <c r="K8" s="8">
        <v>31.32</v>
      </c>
      <c r="L8" s="9">
        <v>38.229999999999997</v>
      </c>
      <c r="N8" s="66">
        <f t="shared" si="1"/>
        <v>6.7000000000003723E-3</v>
      </c>
      <c r="O8" s="66">
        <f t="shared" si="2"/>
        <v>0</v>
      </c>
      <c r="P8" s="66">
        <f t="shared" si="3"/>
        <v>1.0000000000005116E-2</v>
      </c>
    </row>
    <row r="9" spans="2:16" ht="18.600000000000001" customHeight="1" x14ac:dyDescent="0.3">
      <c r="B9" s="24">
        <v>5</v>
      </c>
      <c r="C9" s="27" t="s">
        <v>11</v>
      </c>
      <c r="D9" s="28">
        <v>8.8992000000000004</v>
      </c>
      <c r="E9" s="28">
        <v>11.75</v>
      </c>
      <c r="F9" s="28">
        <v>18.22</v>
      </c>
      <c r="G9" s="28">
        <v>532.30589999999995</v>
      </c>
      <c r="H9" s="28">
        <v>707.94</v>
      </c>
      <c r="I9" s="28">
        <v>703.36</v>
      </c>
      <c r="J9" s="28">
        <v>541.21</v>
      </c>
      <c r="K9" s="28">
        <v>719.69</v>
      </c>
      <c r="L9" s="16">
        <v>721.58</v>
      </c>
      <c r="N9" s="66">
        <f t="shared" si="1"/>
        <v>-4.9000000001342414E-3</v>
      </c>
      <c r="O9" s="66">
        <f t="shared" si="2"/>
        <v>0</v>
      </c>
      <c r="P9" s="66">
        <f t="shared" si="3"/>
        <v>0</v>
      </c>
    </row>
    <row r="10" spans="2:16" ht="18.600000000000001" customHeight="1" thickBot="1" x14ac:dyDescent="0.35">
      <c r="B10" s="23">
        <v>6</v>
      </c>
      <c r="C10" s="20" t="s">
        <v>9</v>
      </c>
      <c r="D10" s="8">
        <v>390.23</v>
      </c>
      <c r="E10" s="8">
        <v>493.39</v>
      </c>
      <c r="F10" s="8">
        <v>124</v>
      </c>
      <c r="G10" s="8">
        <v>2288.0100000000002</v>
      </c>
      <c r="H10" s="8">
        <v>2028.76</v>
      </c>
      <c r="I10" s="8">
        <v>110</v>
      </c>
      <c r="J10" s="8">
        <v>2678.24</v>
      </c>
      <c r="K10" s="8">
        <v>2522.15</v>
      </c>
      <c r="L10" s="9">
        <v>234</v>
      </c>
      <c r="N10" s="66">
        <f t="shared" si="1"/>
        <v>0</v>
      </c>
      <c r="O10" s="66">
        <f>E10+H10-K10</f>
        <v>0</v>
      </c>
      <c r="P10" s="66">
        <f t="shared" si="3"/>
        <v>0</v>
      </c>
    </row>
    <row r="11" spans="2:16" ht="18.600000000000001" customHeight="1" thickBot="1" x14ac:dyDescent="0.35">
      <c r="B11" s="29"/>
      <c r="C11" s="30" t="s">
        <v>26</v>
      </c>
      <c r="D11" s="11">
        <f>SUM(D5:D10)</f>
        <v>877.10410000000002</v>
      </c>
      <c r="E11" s="11">
        <f t="shared" ref="D11:L11" si="4">SUM(E5:E10)</f>
        <v>1440.95</v>
      </c>
      <c r="F11" s="11">
        <f t="shared" si="4"/>
        <v>1733.54</v>
      </c>
      <c r="G11" s="11">
        <f t="shared" si="4"/>
        <v>5643.3539000000001</v>
      </c>
      <c r="H11" s="11">
        <f t="shared" si="4"/>
        <v>6411.6949999999997</v>
      </c>
      <c r="I11" s="11">
        <f t="shared" si="4"/>
        <v>5964.1299999999992</v>
      </c>
      <c r="J11" s="11">
        <f t="shared" si="4"/>
        <v>6520.4532999999992</v>
      </c>
      <c r="K11" s="11">
        <f t="shared" si="4"/>
        <v>7852.6309000000001</v>
      </c>
      <c r="L11" s="12">
        <f t="shared" si="4"/>
        <v>7697.6599999999989</v>
      </c>
      <c r="N11" s="66">
        <f t="shared" si="1"/>
        <v>4.7000000013213139E-3</v>
      </c>
      <c r="O11" s="66">
        <f t="shared" si="2"/>
        <v>1.4099999999416468E-2</v>
      </c>
      <c r="P11" s="66">
        <f t="shared" si="3"/>
        <v>1.0000000000218279E-2</v>
      </c>
    </row>
    <row r="13" spans="2:16" x14ac:dyDescent="0.3">
      <c r="B13" s="105">
        <v>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  <row r="15" spans="2:16" hidden="1" x14ac:dyDescent="0.3">
      <c r="E15" s="77">
        <f>(E11-D11)/D11*100</f>
        <v>64.284946336472487</v>
      </c>
      <c r="F15" s="77">
        <f>(F11-E11)/E11*100</f>
        <v>20.305354106665735</v>
      </c>
      <c r="H15" s="77">
        <f>(H11-G11)/G11*100</f>
        <v>13.614972826708593</v>
      </c>
      <c r="I15" s="77">
        <f>(I11-H11)/H11*100</f>
        <v>-6.9804474479837317</v>
      </c>
      <c r="K15" s="77">
        <f>(K11-J11)/J11*100</f>
        <v>20.430751340554821</v>
      </c>
      <c r="L15" s="77">
        <f>(L11-K11)/K11*100</f>
        <v>-1.9734901840350241</v>
      </c>
    </row>
  </sheetData>
  <mergeCells count="9">
    <mergeCell ref="B1:L1"/>
    <mergeCell ref="J3:L3"/>
    <mergeCell ref="B13:L13"/>
    <mergeCell ref="B2:C2"/>
    <mergeCell ref="D2:L2"/>
    <mergeCell ref="C3:C4"/>
    <mergeCell ref="B3:B4"/>
    <mergeCell ref="D3:F3"/>
    <mergeCell ref="G3:I3"/>
  </mergeCells>
  <pageMargins left="0.25" right="0.25" top="0.75" bottom="0.75" header="0.3" footer="0.3"/>
  <pageSetup scale="96" orientation="landscape" r:id="rId1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FEF3-D053-4EE6-8DF3-A4ADC94EAB0B}">
  <dimension ref="B1:P16"/>
  <sheetViews>
    <sheetView zoomScaleNormal="100" workbookViewId="0">
      <selection activeCell="E11" sqref="E11"/>
    </sheetView>
  </sheetViews>
  <sheetFormatPr defaultColWidth="9.33203125" defaultRowHeight="15.6" x14ac:dyDescent="0.3"/>
  <cols>
    <col min="1" max="1" width="16.6640625" style="1" customWidth="1"/>
    <col min="2" max="2" width="8.21875" style="1" customWidth="1"/>
    <col min="3" max="3" width="29.109375" style="1" customWidth="1"/>
    <col min="4" max="12" width="10.5546875" style="1" customWidth="1"/>
    <col min="13" max="13" width="9.33203125" style="1"/>
    <col min="14" max="16" width="0" style="1" hidden="1" customWidth="1"/>
    <col min="17" max="16384" width="9.33203125" style="1"/>
  </cols>
  <sheetData>
    <row r="1" spans="2:16" ht="20.399999999999999" x14ac:dyDescent="0.3">
      <c r="B1" s="121" t="s">
        <v>44</v>
      </c>
      <c r="C1" s="122"/>
      <c r="D1" s="122"/>
      <c r="E1" s="122"/>
      <c r="F1" s="122"/>
      <c r="G1" s="122"/>
      <c r="H1" s="122"/>
      <c r="I1" s="122"/>
      <c r="J1" s="122"/>
      <c r="K1" s="122"/>
      <c r="L1" s="123"/>
    </row>
    <row r="2" spans="2:16" ht="18.600000000000001" customHeight="1" x14ac:dyDescent="0.3">
      <c r="B2" s="36" t="s">
        <v>17</v>
      </c>
      <c r="C2" s="19"/>
      <c r="D2" s="120" t="s">
        <v>1</v>
      </c>
      <c r="E2" s="103"/>
      <c r="F2" s="103"/>
      <c r="G2" s="103"/>
      <c r="H2" s="103"/>
      <c r="I2" s="103"/>
      <c r="J2" s="103"/>
      <c r="K2" s="103"/>
      <c r="L2" s="104"/>
    </row>
    <row r="3" spans="2:16" ht="37.799999999999997" customHeight="1" x14ac:dyDescent="0.3">
      <c r="B3" s="117" t="s">
        <v>2</v>
      </c>
      <c r="C3" s="115" t="s">
        <v>3</v>
      </c>
      <c r="D3" s="125" t="s">
        <v>18</v>
      </c>
      <c r="E3" s="126"/>
      <c r="F3" s="127"/>
      <c r="G3" s="125" t="s">
        <v>19</v>
      </c>
      <c r="H3" s="126"/>
      <c r="I3" s="127"/>
      <c r="J3" s="125" t="s">
        <v>20</v>
      </c>
      <c r="K3" s="126"/>
      <c r="L3" s="128"/>
    </row>
    <row r="4" spans="2:16" ht="18.600000000000001" customHeight="1" thickBot="1" x14ac:dyDescent="0.35">
      <c r="B4" s="118"/>
      <c r="C4" s="116"/>
      <c r="D4" s="37">
        <v>2023</v>
      </c>
      <c r="E4" s="37">
        <v>2024</v>
      </c>
      <c r="F4" s="37">
        <v>2025</v>
      </c>
      <c r="G4" s="37">
        <v>2023</v>
      </c>
      <c r="H4" s="37">
        <v>2024</v>
      </c>
      <c r="I4" s="37">
        <v>2025</v>
      </c>
      <c r="J4" s="37">
        <v>2023</v>
      </c>
      <c r="K4" s="37">
        <v>2024</v>
      </c>
      <c r="L4" s="38">
        <v>2025</v>
      </c>
    </row>
    <row r="5" spans="2:16" ht="18.600000000000001" customHeight="1" x14ac:dyDescent="0.3">
      <c r="B5" s="24">
        <v>1</v>
      </c>
      <c r="C5" s="25" t="s">
        <v>6</v>
      </c>
      <c r="D5" s="6">
        <v>31.94</v>
      </c>
      <c r="E5" s="6">
        <v>43.91</v>
      </c>
      <c r="F5" s="6">
        <v>61.84</v>
      </c>
      <c r="G5" s="6">
        <v>1231.26</v>
      </c>
      <c r="H5" s="6">
        <v>1744.81</v>
      </c>
      <c r="I5" s="6">
        <v>2604.23</v>
      </c>
      <c r="J5" s="6">
        <f>D5+G5</f>
        <v>1263.2</v>
      </c>
      <c r="K5" s="6">
        <f>E5+H5</f>
        <v>1788.72</v>
      </c>
      <c r="L5" s="7">
        <v>2666.06</v>
      </c>
      <c r="M5" s="39"/>
      <c r="N5" s="66">
        <f>D5+G5-J5</f>
        <v>0</v>
      </c>
      <c r="O5" s="66">
        <f t="shared" ref="O5" si="0">E5+H5-K5</f>
        <v>0</v>
      </c>
      <c r="P5" s="66">
        <f>F5+I5-L5</f>
        <v>1.0000000000218279E-2</v>
      </c>
    </row>
    <row r="6" spans="2:16" s="2" customFormat="1" ht="18.600000000000001" customHeight="1" x14ac:dyDescent="0.3">
      <c r="B6" s="23">
        <v>2</v>
      </c>
      <c r="C6" s="20" t="s">
        <v>10</v>
      </c>
      <c r="D6" s="8">
        <v>47.37</v>
      </c>
      <c r="E6" s="8">
        <v>78.900000000000006</v>
      </c>
      <c r="F6" s="8">
        <v>100.58</v>
      </c>
      <c r="G6" s="8">
        <v>1117.46</v>
      </c>
      <c r="H6" s="8">
        <v>1312.62</v>
      </c>
      <c r="I6" s="8">
        <v>1638.17</v>
      </c>
      <c r="J6" s="8">
        <v>1164.83</v>
      </c>
      <c r="K6" s="8">
        <v>1391.52</v>
      </c>
      <c r="L6" s="9">
        <v>1738.75</v>
      </c>
      <c r="M6" s="70"/>
      <c r="N6" s="69">
        <f t="shared" ref="N6:N11" si="1">D6+G6-J6</f>
        <v>0</v>
      </c>
      <c r="O6" s="69">
        <f t="shared" ref="O6:O11" si="2">E6+H6-K6</f>
        <v>0</v>
      </c>
      <c r="P6" s="69">
        <f t="shared" ref="P6:P11" si="3">F6+I6-L6</f>
        <v>0</v>
      </c>
    </row>
    <row r="7" spans="2:16" s="2" customFormat="1" ht="18.600000000000001" customHeight="1" x14ac:dyDescent="0.3">
      <c r="B7" s="24">
        <v>3</v>
      </c>
      <c r="C7" s="20" t="s">
        <v>7</v>
      </c>
      <c r="D7" s="8">
        <v>94.02</v>
      </c>
      <c r="E7" s="8">
        <v>169.73599999999999</v>
      </c>
      <c r="F7" s="8">
        <v>366.67</v>
      </c>
      <c r="G7" s="8">
        <v>646.14</v>
      </c>
      <c r="H7" s="8">
        <v>1003.68</v>
      </c>
      <c r="I7" s="8">
        <v>1513.04</v>
      </c>
      <c r="J7" s="8">
        <f>G7+D7</f>
        <v>740.16</v>
      </c>
      <c r="K7" s="8">
        <v>1173.42</v>
      </c>
      <c r="L7" s="9">
        <v>1879.71</v>
      </c>
      <c r="M7" s="70"/>
      <c r="N7" s="69">
        <f t="shared" si="1"/>
        <v>0</v>
      </c>
      <c r="O7" s="69">
        <f t="shared" si="2"/>
        <v>-4.0000000001327862E-3</v>
      </c>
      <c r="P7" s="69">
        <f t="shared" si="3"/>
        <v>0</v>
      </c>
    </row>
    <row r="8" spans="2:16" ht="18.600000000000001" customHeight="1" x14ac:dyDescent="0.3">
      <c r="B8" s="23">
        <v>4</v>
      </c>
      <c r="C8" s="20" t="s">
        <v>8</v>
      </c>
      <c r="D8" s="8">
        <v>0.7</v>
      </c>
      <c r="E8" s="8">
        <v>1.49</v>
      </c>
      <c r="F8" s="8">
        <v>7.39</v>
      </c>
      <c r="G8" s="8">
        <v>57.63</v>
      </c>
      <c r="H8" s="8">
        <v>88.35</v>
      </c>
      <c r="I8" s="8">
        <v>134.69</v>
      </c>
      <c r="J8" s="8">
        <v>58.33</v>
      </c>
      <c r="K8" s="8">
        <v>89.84</v>
      </c>
      <c r="L8" s="9">
        <v>142.09</v>
      </c>
      <c r="M8" s="39"/>
      <c r="N8" s="66">
        <f t="shared" si="1"/>
        <v>0</v>
      </c>
      <c r="O8" s="66">
        <f t="shared" si="2"/>
        <v>0</v>
      </c>
      <c r="P8" s="66">
        <f t="shared" si="3"/>
        <v>-1.0000000000019327E-2</v>
      </c>
    </row>
    <row r="9" spans="2:16" ht="18.600000000000001" customHeight="1" x14ac:dyDescent="0.3">
      <c r="B9" s="24">
        <v>5</v>
      </c>
      <c r="C9" s="27" t="s">
        <v>11</v>
      </c>
      <c r="D9" s="28">
        <v>0.37</v>
      </c>
      <c r="E9" s="28">
        <v>0.83</v>
      </c>
      <c r="F9" s="28">
        <v>3.13</v>
      </c>
      <c r="G9" s="28">
        <v>531.5</v>
      </c>
      <c r="H9" s="28">
        <v>716.86</v>
      </c>
      <c r="I9" s="28">
        <v>716.71</v>
      </c>
      <c r="J9" s="28">
        <v>531.87</v>
      </c>
      <c r="K9" s="28">
        <v>717.69</v>
      </c>
      <c r="L9" s="16">
        <v>719.84</v>
      </c>
      <c r="M9" s="39"/>
      <c r="N9" s="66">
        <f t="shared" si="1"/>
        <v>0</v>
      </c>
      <c r="O9" s="66">
        <f t="shared" si="2"/>
        <v>0</v>
      </c>
      <c r="P9" s="66">
        <f t="shared" si="3"/>
        <v>0</v>
      </c>
    </row>
    <row r="10" spans="2:16" ht="18.600000000000001" customHeight="1" thickBot="1" x14ac:dyDescent="0.35">
      <c r="B10" s="23">
        <v>6</v>
      </c>
      <c r="C10" s="20" t="s">
        <v>9</v>
      </c>
      <c r="D10" s="8">
        <v>72.36</v>
      </c>
      <c r="E10" s="8">
        <v>60.66</v>
      </c>
      <c r="F10" s="8">
        <v>8</v>
      </c>
      <c r="G10" s="8">
        <v>2583.75</v>
      </c>
      <c r="H10" s="8">
        <v>2572.8200000000002</v>
      </c>
      <c r="I10" s="8">
        <v>315</v>
      </c>
      <c r="J10" s="8">
        <v>2656.11</v>
      </c>
      <c r="K10" s="8">
        <v>2633.48</v>
      </c>
      <c r="L10" s="9">
        <v>323</v>
      </c>
      <c r="M10" s="39"/>
      <c r="N10" s="66">
        <f t="shared" si="1"/>
        <v>0</v>
      </c>
      <c r="O10" s="66">
        <f t="shared" si="2"/>
        <v>0</v>
      </c>
      <c r="P10" s="66">
        <f t="shared" si="3"/>
        <v>0</v>
      </c>
    </row>
    <row r="11" spans="2:16" ht="18.600000000000001" customHeight="1" thickBot="1" x14ac:dyDescent="0.35">
      <c r="B11" s="29"/>
      <c r="C11" s="30" t="s">
        <v>26</v>
      </c>
      <c r="D11" s="11">
        <f>SUM(D5:D10)</f>
        <v>246.76</v>
      </c>
      <c r="E11" s="11">
        <f t="shared" ref="D11:K11" si="4">SUM(E5:E10)</f>
        <v>355.52599999999995</v>
      </c>
      <c r="F11" s="11">
        <f t="shared" si="4"/>
        <v>547.61</v>
      </c>
      <c r="G11" s="11">
        <f t="shared" si="4"/>
        <v>6167.74</v>
      </c>
      <c r="H11" s="11">
        <f t="shared" si="4"/>
        <v>7439.1399999999994</v>
      </c>
      <c r="I11" s="11">
        <f t="shared" si="4"/>
        <v>6921.8399999999992</v>
      </c>
      <c r="J11" s="11">
        <f t="shared" si="4"/>
        <v>6414.5</v>
      </c>
      <c r="K11" s="11">
        <f t="shared" si="4"/>
        <v>7794.67</v>
      </c>
      <c r="L11" s="12">
        <f>SUM(L5:L10)</f>
        <v>7469.45</v>
      </c>
      <c r="M11" s="39"/>
      <c r="N11" s="66">
        <f t="shared" si="1"/>
        <v>0</v>
      </c>
      <c r="O11" s="66">
        <f t="shared" si="2"/>
        <v>-4.0000000008149073E-3</v>
      </c>
      <c r="P11" s="66">
        <f t="shared" si="3"/>
        <v>0</v>
      </c>
    </row>
    <row r="13" spans="2:16" x14ac:dyDescent="0.3">
      <c r="B13" s="124" t="s">
        <v>38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6" x14ac:dyDescent="0.3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</row>
    <row r="15" spans="2:16" x14ac:dyDescent="0.3">
      <c r="B15" s="105">
        <v>3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</row>
    <row r="16" spans="2:16" x14ac:dyDescent="0.3">
      <c r="E16" s="77"/>
      <c r="F16" s="77"/>
    </row>
  </sheetData>
  <mergeCells count="9">
    <mergeCell ref="D2:L2"/>
    <mergeCell ref="B1:L1"/>
    <mergeCell ref="B3:B4"/>
    <mergeCell ref="C3:C4"/>
    <mergeCell ref="B15:L15"/>
    <mergeCell ref="B13:L13"/>
    <mergeCell ref="G3:I3"/>
    <mergeCell ref="D3:F3"/>
    <mergeCell ref="J3:L3"/>
  </mergeCells>
  <pageMargins left="0.25" right="0.25" top="0.75" bottom="0.75" header="0.3" footer="0.3"/>
  <pageSetup scale="94" orientation="landscape" r:id="rId1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D7DC-15C8-4EB6-AB89-739E1815E078}">
  <dimension ref="B1:AD13"/>
  <sheetViews>
    <sheetView zoomScaleNormal="100" workbookViewId="0">
      <selection activeCell="E11" sqref="E11"/>
    </sheetView>
  </sheetViews>
  <sheetFormatPr defaultColWidth="9.33203125" defaultRowHeight="15.6" x14ac:dyDescent="0.3"/>
  <cols>
    <col min="1" max="1" width="18" style="1" customWidth="1"/>
    <col min="2" max="2" width="8" style="1" customWidth="1"/>
    <col min="3" max="3" width="28.77734375" style="1" customWidth="1"/>
    <col min="4" max="9" width="10.109375" style="1" customWidth="1"/>
    <col min="10" max="10" width="10.44140625" style="1" customWidth="1"/>
    <col min="11" max="11" width="10.21875" style="1" customWidth="1"/>
    <col min="12" max="12" width="10.6640625" style="1" customWidth="1"/>
    <col min="13" max="13" width="7.44140625" style="1" customWidth="1"/>
    <col min="14" max="19" width="6.5546875" style="67" hidden="1" customWidth="1"/>
    <col min="20" max="20" width="4.21875" style="1" hidden="1" customWidth="1"/>
    <col min="21" max="23" width="6.88671875" style="67" hidden="1" customWidth="1"/>
    <col min="24" max="24" width="3.77734375" style="1" hidden="1" customWidth="1"/>
    <col min="25" max="27" width="7.5546875" style="67" hidden="1" customWidth="1"/>
    <col min="28" max="30" width="7.109375" style="1" hidden="1" customWidth="1"/>
    <col min="31" max="31" width="0" style="1" hidden="1" customWidth="1"/>
    <col min="32" max="16384" width="9.33203125" style="1"/>
  </cols>
  <sheetData>
    <row r="1" spans="2:30" ht="20.399999999999999" x14ac:dyDescent="0.3">
      <c r="B1" s="98" t="s">
        <v>45</v>
      </c>
      <c r="C1" s="99"/>
      <c r="D1" s="99"/>
      <c r="E1" s="99"/>
      <c r="F1" s="99"/>
      <c r="G1" s="99"/>
      <c r="H1" s="99"/>
      <c r="I1" s="99"/>
      <c r="J1" s="99"/>
      <c r="K1" s="99"/>
      <c r="L1" s="100"/>
    </row>
    <row r="2" spans="2:30" ht="18" customHeight="1" x14ac:dyDescent="0.3">
      <c r="B2" s="110" t="s">
        <v>0</v>
      </c>
      <c r="C2" s="111"/>
      <c r="D2" s="120" t="s">
        <v>1</v>
      </c>
      <c r="E2" s="103"/>
      <c r="F2" s="103"/>
      <c r="G2" s="103"/>
      <c r="H2" s="103"/>
      <c r="I2" s="103"/>
      <c r="J2" s="103"/>
      <c r="K2" s="103"/>
      <c r="L2" s="104"/>
    </row>
    <row r="3" spans="2:30" s="40" customFormat="1" ht="36" customHeight="1" x14ac:dyDescent="0.3">
      <c r="B3" s="117" t="s">
        <v>2</v>
      </c>
      <c r="C3" s="129" t="s">
        <v>3</v>
      </c>
      <c r="D3" s="125" t="s">
        <v>21</v>
      </c>
      <c r="E3" s="126"/>
      <c r="F3" s="127"/>
      <c r="G3" s="125" t="s">
        <v>22</v>
      </c>
      <c r="H3" s="126"/>
      <c r="I3" s="127"/>
      <c r="J3" s="131" t="s">
        <v>23</v>
      </c>
      <c r="K3" s="132"/>
      <c r="L3" s="133"/>
      <c r="N3" s="68"/>
      <c r="O3" s="68"/>
      <c r="P3" s="68"/>
      <c r="Q3" s="68"/>
      <c r="R3" s="68"/>
      <c r="S3" s="68"/>
      <c r="U3" s="68"/>
      <c r="V3" s="68"/>
      <c r="W3" s="68"/>
      <c r="Y3" s="68"/>
      <c r="Z3" s="68"/>
      <c r="AA3" s="68"/>
    </row>
    <row r="4" spans="2:30" ht="18.600000000000001" customHeight="1" thickBot="1" x14ac:dyDescent="0.35">
      <c r="B4" s="118"/>
      <c r="C4" s="130"/>
      <c r="D4" s="3">
        <v>2023</v>
      </c>
      <c r="E4" s="3">
        <v>2024</v>
      </c>
      <c r="F4" s="3">
        <v>2025</v>
      </c>
      <c r="G4" s="3">
        <v>2023</v>
      </c>
      <c r="H4" s="3">
        <v>2024</v>
      </c>
      <c r="I4" s="3">
        <v>2025</v>
      </c>
      <c r="J4" s="33">
        <v>2023</v>
      </c>
      <c r="K4" s="3">
        <v>2024</v>
      </c>
      <c r="L4" s="4">
        <v>2025</v>
      </c>
    </row>
    <row r="5" spans="2:30" ht="18.600000000000001" customHeight="1" x14ac:dyDescent="0.3">
      <c r="B5" s="24">
        <v>1</v>
      </c>
      <c r="C5" s="25" t="s">
        <v>6</v>
      </c>
      <c r="D5" s="6">
        <v>27.89</v>
      </c>
      <c r="E5" s="6">
        <v>47.08</v>
      </c>
      <c r="F5" s="6">
        <v>42.57</v>
      </c>
      <c r="G5" s="6">
        <v>6.25</v>
      </c>
      <c r="H5" s="6">
        <v>12.57</v>
      </c>
      <c r="I5" s="41">
        <v>-20.03</v>
      </c>
      <c r="J5" s="6">
        <v>21.64</v>
      </c>
      <c r="K5" s="6">
        <v>34.51</v>
      </c>
      <c r="L5" s="7">
        <v>62.6</v>
      </c>
      <c r="N5" s="66">
        <f>Income!J5-Exps.!J5-D5</f>
        <v>-1.0000000000118803E-2</v>
      </c>
      <c r="O5" s="66">
        <f>Income!K5-Exps.!K5-E5</f>
        <v>-7.1054273576010019E-14</v>
      </c>
      <c r="P5" s="66">
        <f>Income!L5-Exps.!L5-F5</f>
        <v>1.6342482922482304E-13</v>
      </c>
      <c r="Q5" s="66">
        <f>D5-G5-J5</f>
        <v>0</v>
      </c>
      <c r="R5" s="66">
        <f t="shared" ref="R5:R10" si="0">E5-H5-K5</f>
        <v>0</v>
      </c>
      <c r="S5" s="66">
        <f t="shared" ref="S5:S11" si="1">F5-I5-L5</f>
        <v>0</v>
      </c>
      <c r="U5" s="66">
        <f>Income!J5-Exps.!D5-Exps.!G5-D5</f>
        <v>-1.0000000000118803E-2</v>
      </c>
      <c r="V5" s="66">
        <f>Income!K5-Exps.!E5-Exps.!H5-E5</f>
        <v>-7.1054273576010019E-14</v>
      </c>
      <c r="W5" s="66">
        <f>Income!L5-Exps.!F5-Exps.!I5-F5</f>
        <v>-1.0000000000054854E-2</v>
      </c>
      <c r="Y5" s="66">
        <f>Income!J5-Exps.!J5-Profit!G5</f>
        <v>21.629999999999882</v>
      </c>
      <c r="Z5" s="66">
        <f>Income!K5-Exps.!K5-Profit!H5</f>
        <v>34.509999999999927</v>
      </c>
      <c r="AA5" s="66">
        <f>Income!L5-Exps.!L5-Profit!I5</f>
        <v>62.600000000000165</v>
      </c>
      <c r="AB5" s="66">
        <f>Y5-J5</f>
        <v>-1.0000000000118803E-2</v>
      </c>
      <c r="AC5" s="66">
        <f t="shared" ref="AC5:AC11" si="2">Z5-K5</f>
        <v>-7.1054273576010019E-14</v>
      </c>
      <c r="AD5" s="66">
        <f t="shared" ref="AD5:AD11" si="3">AA5-L5</f>
        <v>1.6342482922482304E-13</v>
      </c>
    </row>
    <row r="6" spans="2:30" s="2" customFormat="1" ht="18.600000000000001" customHeight="1" x14ac:dyDescent="0.3">
      <c r="B6" s="23">
        <v>2</v>
      </c>
      <c r="C6" s="20" t="s">
        <v>10</v>
      </c>
      <c r="D6" s="8">
        <v>65.09</v>
      </c>
      <c r="E6" s="8">
        <v>86.86</v>
      </c>
      <c r="F6" s="8">
        <v>108.35</v>
      </c>
      <c r="G6" s="8">
        <v>0</v>
      </c>
      <c r="H6" s="8">
        <v>0.64</v>
      </c>
      <c r="I6" s="21">
        <v>15.82</v>
      </c>
      <c r="J6" s="8">
        <v>65.09</v>
      </c>
      <c r="K6" s="8">
        <v>86.22</v>
      </c>
      <c r="L6" s="9">
        <v>92.53</v>
      </c>
      <c r="N6" s="66">
        <f>Income!J6-Exps.!J6-D6</f>
        <v>-9.9999999998487965E-3</v>
      </c>
      <c r="O6" s="66">
        <f>Income!K6-Exps.!K6-E6</f>
        <v>1.2789769243681803E-13</v>
      </c>
      <c r="P6" s="66">
        <f>Income!L6-Exps.!L6-F6</f>
        <v>0</v>
      </c>
      <c r="Q6" s="66">
        <f t="shared" ref="Q6:Q11" si="4">D6-G6-J6</f>
        <v>0</v>
      </c>
      <c r="R6" s="66">
        <f t="shared" si="0"/>
        <v>0</v>
      </c>
      <c r="S6" s="66">
        <f t="shared" si="1"/>
        <v>0</v>
      </c>
      <c r="T6" s="1"/>
      <c r="U6" s="69">
        <f>Income!J6-Exps.!D6-Exps.!G6-D6</f>
        <v>-9.9999999998487965E-3</v>
      </c>
      <c r="V6" s="69">
        <f>Income!K6-Exps.!E6-Exps.!H6-E6</f>
        <v>1.2789769243681803E-13</v>
      </c>
      <c r="W6" s="69">
        <f>Income!L6-Exps.!F6-Exps.!I6-F6</f>
        <v>0</v>
      </c>
      <c r="Y6" s="69">
        <f>Income!J6-Exps.!J6-Profit!G6</f>
        <v>65.080000000000155</v>
      </c>
      <c r="Z6" s="69">
        <f>Income!K6-Exps.!K6-Profit!H6</f>
        <v>86.220000000000127</v>
      </c>
      <c r="AA6" s="69">
        <f>Income!L6-Exps.!L6-Profit!I6</f>
        <v>92.529999999999916</v>
      </c>
      <c r="AB6" s="69">
        <f t="shared" ref="AB6:AB11" si="5">Y6-J6</f>
        <v>-9.9999999998487965E-3</v>
      </c>
      <c r="AC6" s="69">
        <f t="shared" si="2"/>
        <v>1.2789769243681803E-13</v>
      </c>
      <c r="AD6" s="69">
        <f t="shared" si="3"/>
        <v>0</v>
      </c>
    </row>
    <row r="7" spans="2:30" s="2" customFormat="1" ht="18.600000000000001" customHeight="1" x14ac:dyDescent="0.3">
      <c r="B7" s="24">
        <v>3</v>
      </c>
      <c r="C7" s="20" t="s">
        <v>7</v>
      </c>
      <c r="D7" s="8">
        <v>25.99</v>
      </c>
      <c r="E7" s="8">
        <v>91.87</v>
      </c>
      <c r="F7" s="8">
        <v>268.41000000000003</v>
      </c>
      <c r="G7" s="8">
        <v>5.83</v>
      </c>
      <c r="H7" s="8">
        <v>57.634799999999998</v>
      </c>
      <c r="I7" s="10">
        <v>134.56</v>
      </c>
      <c r="J7" s="8">
        <v>20.16</v>
      </c>
      <c r="K7" s="8">
        <v>34.24</v>
      </c>
      <c r="L7" s="9">
        <v>133.85</v>
      </c>
      <c r="N7" s="66">
        <f>Income!J7-Exps.!J7-D7</f>
        <v>0</v>
      </c>
      <c r="O7" s="66">
        <f>Income!K7-Exps.!K7-E7</f>
        <v>8.9999999988776835E-4</v>
      </c>
      <c r="P7" s="66">
        <f>Income!L7-Exps.!L7-F7</f>
        <v>0</v>
      </c>
      <c r="Q7" s="66">
        <f t="shared" si="4"/>
        <v>0</v>
      </c>
      <c r="R7" s="66">
        <f t="shared" si="0"/>
        <v>-4.7999999999959186E-3</v>
      </c>
      <c r="S7" s="66">
        <f t="shared" si="1"/>
        <v>0</v>
      </c>
      <c r="T7" s="1"/>
      <c r="U7" s="69">
        <f>Income!J7-Exps.!D7-Exps.!G7-D7</f>
        <v>0</v>
      </c>
      <c r="V7" s="69">
        <f>Income!K7-Exps.!E7-Exps.!H7-E7</f>
        <v>4.9000000001342414E-3</v>
      </c>
      <c r="W7" s="69">
        <f>Income!L7-Exps.!F7-Exps.!I7-F7</f>
        <v>0</v>
      </c>
      <c r="Y7" s="69">
        <f>Income!J7-Exps.!J7-Profit!G7</f>
        <v>20.160000000000011</v>
      </c>
      <c r="Z7" s="69">
        <f>Income!K7-Exps.!K7-Profit!H7</f>
        <v>34.236099999999894</v>
      </c>
      <c r="AA7" s="69">
        <f>Income!L7-Exps.!L7-Profit!I7</f>
        <v>133.84999999999985</v>
      </c>
      <c r="AB7" s="69">
        <f t="shared" si="5"/>
        <v>0</v>
      </c>
      <c r="AC7" s="69">
        <f t="shared" si="2"/>
        <v>-3.9000000001081503E-3</v>
      </c>
      <c r="AD7" s="69">
        <f t="shared" si="3"/>
        <v>0</v>
      </c>
    </row>
    <row r="8" spans="2:30" ht="18.600000000000001" customHeight="1" x14ac:dyDescent="0.3">
      <c r="B8" s="23">
        <v>4</v>
      </c>
      <c r="C8" s="20" t="s">
        <v>8</v>
      </c>
      <c r="D8" s="41">
        <v>-44.470000000000006</v>
      </c>
      <c r="E8" s="41">
        <v>-58.52</v>
      </c>
      <c r="F8" s="41">
        <v>-103.86</v>
      </c>
      <c r="G8" s="8">
        <v>0</v>
      </c>
      <c r="H8" s="72">
        <v>0</v>
      </c>
      <c r="I8" s="13">
        <v>0</v>
      </c>
      <c r="J8" s="41">
        <v>-44.470000000000006</v>
      </c>
      <c r="K8" s="41">
        <v>-58.52</v>
      </c>
      <c r="L8" s="42">
        <v>-103.86</v>
      </c>
      <c r="N8" s="66">
        <f>Income!J8-Exps.!J8-D8</f>
        <v>3.3000000000100727E-3</v>
      </c>
      <c r="O8" s="66">
        <f>Income!K8-Exps.!K8-E8</f>
        <v>0</v>
      </c>
      <c r="P8" s="66">
        <f>Income!L8-Exps.!L8-F8</f>
        <v>0</v>
      </c>
      <c r="Q8" s="66">
        <f t="shared" si="4"/>
        <v>0</v>
      </c>
      <c r="R8" s="66">
        <f t="shared" si="0"/>
        <v>0</v>
      </c>
      <c r="S8" s="66">
        <f t="shared" si="1"/>
        <v>0</v>
      </c>
      <c r="U8" s="66">
        <f>Income!J8-Exps.!D8-Exps.!G8-D8</f>
        <v>3.3000000000029672E-3</v>
      </c>
      <c r="V8" s="66">
        <f>Income!K8-Exps.!E8-Exps.!H8-E8</f>
        <v>0</v>
      </c>
      <c r="W8" s="66">
        <f>Income!L8-Exps.!F8-Exps.!I8-F8</f>
        <v>1.0000000000005116E-2</v>
      </c>
      <c r="Y8" s="66">
        <f>Income!J8-Exps.!J8-Profit!G8</f>
        <v>-44.466699999999996</v>
      </c>
      <c r="Z8" s="66">
        <f>Income!K8-Exps.!K8-Profit!H8</f>
        <v>-58.52</v>
      </c>
      <c r="AA8" s="66">
        <f>Income!L8-Exps.!L8-Profit!I8</f>
        <v>-103.86000000000001</v>
      </c>
      <c r="AB8" s="66">
        <f t="shared" si="5"/>
        <v>3.3000000000100727E-3</v>
      </c>
      <c r="AC8" s="66">
        <f t="shared" si="2"/>
        <v>0</v>
      </c>
      <c r="AD8" s="66">
        <f t="shared" si="3"/>
        <v>0</v>
      </c>
    </row>
    <row r="9" spans="2:30" ht="18.600000000000001" customHeight="1" x14ac:dyDescent="0.3">
      <c r="B9" s="24">
        <v>5</v>
      </c>
      <c r="C9" s="27" t="s">
        <v>11</v>
      </c>
      <c r="D9" s="28">
        <v>9.33</v>
      </c>
      <c r="E9" s="28">
        <v>2</v>
      </c>
      <c r="F9" s="28">
        <v>1.74</v>
      </c>
      <c r="G9" s="28">
        <v>1.24</v>
      </c>
      <c r="H9" s="28">
        <v>0.28999999999999998</v>
      </c>
      <c r="I9" s="41">
        <v>-0.06</v>
      </c>
      <c r="J9" s="28">
        <v>8.09</v>
      </c>
      <c r="K9" s="28">
        <v>1.71</v>
      </c>
      <c r="L9" s="16">
        <v>1.8</v>
      </c>
      <c r="M9" s="39"/>
      <c r="N9" s="66">
        <f>Income!J9-Exps.!J9-D9</f>
        <v>1.0000000000031761E-2</v>
      </c>
      <c r="O9" s="66">
        <f>Income!K9-Exps.!K9-E9</f>
        <v>0</v>
      </c>
      <c r="P9" s="66">
        <f>Income!L9-Exps.!L9-F9</f>
        <v>9.1038288019262836E-15</v>
      </c>
      <c r="Q9" s="66">
        <f t="shared" si="4"/>
        <v>0</v>
      </c>
      <c r="R9" s="66">
        <f t="shared" si="0"/>
        <v>0</v>
      </c>
      <c r="S9" s="66">
        <f t="shared" si="1"/>
        <v>0</v>
      </c>
      <c r="U9" s="66">
        <f>Income!J9-Exps.!D9-Exps.!G9-D9</f>
        <v>1.0000000000031761E-2</v>
      </c>
      <c r="V9" s="66">
        <f>Income!K9-Exps.!E9-Exps.!H9-E9</f>
        <v>0</v>
      </c>
      <c r="W9" s="66">
        <f>Income!L9-Exps.!F9-Exps.!I9-F9</f>
        <v>9.1038288019262836E-15</v>
      </c>
      <c r="Y9" s="66">
        <f>Income!J9-Exps.!J9-Profit!G9</f>
        <v>8.1000000000000316</v>
      </c>
      <c r="Z9" s="66">
        <f>Income!K9-Exps.!K9-Profit!H9</f>
        <v>1.71</v>
      </c>
      <c r="AA9" s="66">
        <f>Income!L9-Exps.!L9-Profit!I9</f>
        <v>1.8000000000000091</v>
      </c>
      <c r="AB9" s="66">
        <f t="shared" si="5"/>
        <v>1.0000000000031761E-2</v>
      </c>
      <c r="AC9" s="66">
        <f t="shared" si="2"/>
        <v>0</v>
      </c>
      <c r="AD9" s="66">
        <f t="shared" si="3"/>
        <v>9.1038288019262836E-15</v>
      </c>
    </row>
    <row r="10" spans="2:30" ht="18.600000000000001" customHeight="1" thickBot="1" x14ac:dyDescent="0.35">
      <c r="B10" s="64">
        <v>6</v>
      </c>
      <c r="C10" s="49" t="s">
        <v>9</v>
      </c>
      <c r="D10" s="28">
        <v>22.12</v>
      </c>
      <c r="E10" s="43">
        <v>-111.33</v>
      </c>
      <c r="F10" s="43">
        <v>-89</v>
      </c>
      <c r="G10" s="28">
        <v>7.5842999999999998</v>
      </c>
      <c r="H10" s="28">
        <v>44.83</v>
      </c>
      <c r="I10" s="15">
        <v>5</v>
      </c>
      <c r="J10" s="28">
        <v>14.54</v>
      </c>
      <c r="K10" s="43">
        <v>-156.1618</v>
      </c>
      <c r="L10" s="65">
        <v>-94</v>
      </c>
      <c r="N10" s="66">
        <f>Income!J10-Exps.!J10-D10</f>
        <v>9.9999999996533973E-3</v>
      </c>
      <c r="O10" s="66">
        <f>Income!K10-Exps.!K10-E10</f>
        <v>0</v>
      </c>
      <c r="P10" s="66">
        <f>Income!L10-Exps.!L10-F10</f>
        <v>0</v>
      </c>
      <c r="Q10" s="66">
        <f t="shared" si="4"/>
        <v>-4.2999999999970839E-3</v>
      </c>
      <c r="R10" s="66">
        <f t="shared" si="0"/>
        <v>1.8000000000029104E-3</v>
      </c>
      <c r="S10" s="66">
        <f t="shared" si="1"/>
        <v>0</v>
      </c>
      <c r="U10" s="66">
        <f>Income!J10-Exps.!D10-Exps.!G10-D10</f>
        <v>9.9999999996533973E-3</v>
      </c>
      <c r="V10" s="66">
        <f>Income!K10-Exps.!E10-Exps.!H10-E10</f>
        <v>0</v>
      </c>
      <c r="W10" s="66">
        <f>Income!L10-Exps.!F10-Exps.!I10-F10</f>
        <v>0</v>
      </c>
      <c r="Y10" s="66">
        <f>Income!J10-Exps.!J10-Profit!G10</f>
        <v>14.545699999999655</v>
      </c>
      <c r="Z10" s="66">
        <f>Income!K10-Exps.!K10-Profit!H10</f>
        <v>-156.15999999999991</v>
      </c>
      <c r="AA10" s="66">
        <f>Income!L10-Exps.!L10-Profit!I10</f>
        <v>-94</v>
      </c>
      <c r="AB10" s="66">
        <f t="shared" si="5"/>
        <v>5.6999999996563133E-3</v>
      </c>
      <c r="AC10" s="66">
        <f t="shared" si="2"/>
        <v>1.8000000000881755E-3</v>
      </c>
      <c r="AD10" s="66">
        <f t="shared" si="3"/>
        <v>0</v>
      </c>
    </row>
    <row r="11" spans="2:30" ht="18.600000000000001" customHeight="1" thickBot="1" x14ac:dyDescent="0.35">
      <c r="B11" s="29"/>
      <c r="C11" s="30" t="s">
        <v>26</v>
      </c>
      <c r="D11" s="11">
        <f>SUM(D5:D10)</f>
        <v>105.95</v>
      </c>
      <c r="E11" s="11">
        <f t="shared" ref="D11:J11" si="6">SUM(E5:E10)</f>
        <v>57.959999999999994</v>
      </c>
      <c r="F11" s="11">
        <f t="shared" si="6"/>
        <v>228.21000000000004</v>
      </c>
      <c r="G11" s="11">
        <f t="shared" si="6"/>
        <v>20.904299999999999</v>
      </c>
      <c r="H11" s="11">
        <f t="shared" si="6"/>
        <v>115.9648</v>
      </c>
      <c r="I11" s="17">
        <f t="shared" si="6"/>
        <v>135.29</v>
      </c>
      <c r="J11" s="11">
        <f t="shared" si="6"/>
        <v>85.049999999999983</v>
      </c>
      <c r="K11" s="44">
        <f>SUM(K5:K10)</f>
        <v>-58.001800000000017</v>
      </c>
      <c r="L11" s="12">
        <f>SUM(L5:L10)</f>
        <v>92.920000000000016</v>
      </c>
      <c r="N11" s="69">
        <f>Income!J11-Exps.!J11-D11</f>
        <v>3.2999999992142648E-3</v>
      </c>
      <c r="O11" s="69">
        <f>Income!K11-Exps.!K11-E11</f>
        <v>9.0000000004408776E-4</v>
      </c>
      <c r="P11" s="69">
        <f>Income!L11-Exps.!L11-F11</f>
        <v>-9.0949470177292824E-13</v>
      </c>
      <c r="Q11" s="69">
        <f t="shared" si="4"/>
        <v>-4.2999999999722149E-3</v>
      </c>
      <c r="R11" s="69">
        <f>E11-H11-K11</f>
        <v>-2.9999999999859028E-3</v>
      </c>
      <c r="S11" s="69">
        <f t="shared" si="1"/>
        <v>0</v>
      </c>
      <c r="U11" s="69">
        <f>Income!J11-Exps.!D11-Exps.!G11-D11</f>
        <v>3.2999999992142648E-3</v>
      </c>
      <c r="V11" s="69">
        <f>Income!K11-Exps.!E11-Exps.!H11-E11</f>
        <v>4.900000000858995E-3</v>
      </c>
      <c r="W11" s="69">
        <f>Income!L11-Exps.!F11-Exps.!I11-F11</f>
        <v>0</v>
      </c>
      <c r="Y11" s="69">
        <f>Income!J11-Exps.!J11-Profit!G11</f>
        <v>85.048999999999211</v>
      </c>
      <c r="Z11" s="69">
        <f>Income!K11-Exps.!K11-Profit!H11</f>
        <v>-58.003899999999959</v>
      </c>
      <c r="AA11" s="69">
        <f>Income!L11-Exps.!L11-Profit!I11</f>
        <v>92.919999999999135</v>
      </c>
      <c r="AB11" s="69">
        <f t="shared" si="5"/>
        <v>-1.000000000772161E-3</v>
      </c>
      <c r="AC11" s="69">
        <f t="shared" si="2"/>
        <v>-2.0999999999418151E-3</v>
      </c>
      <c r="AD11" s="69">
        <f t="shared" si="3"/>
        <v>-8.8107299234252423E-13</v>
      </c>
    </row>
    <row r="12" spans="2:30" ht="18.600000000000001" customHeight="1" x14ac:dyDescent="0.3"/>
    <row r="13" spans="2:30" ht="17.399999999999999" customHeight="1" x14ac:dyDescent="0.3">
      <c r="B13" s="105">
        <v>4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</sheetData>
  <mergeCells count="9">
    <mergeCell ref="B1:L1"/>
    <mergeCell ref="B2:C2"/>
    <mergeCell ref="D2:L2"/>
    <mergeCell ref="B13:L13"/>
    <mergeCell ref="C3:C4"/>
    <mergeCell ref="B3:B4"/>
    <mergeCell ref="D3:F3"/>
    <mergeCell ref="G3:I3"/>
    <mergeCell ref="J3:L3"/>
  </mergeCells>
  <pageMargins left="0.25" right="0.25" top="0.75" bottom="0.75" header="0.3" footer="0.3"/>
  <pageSetup scale="91" orientation="landscape" r:id="rId1"/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1D86-C274-48CB-AF12-48689E44C979}">
  <dimension ref="B1:L15"/>
  <sheetViews>
    <sheetView zoomScaleNormal="100" workbookViewId="0">
      <selection activeCell="D11" sqref="D11"/>
    </sheetView>
  </sheetViews>
  <sheetFormatPr defaultColWidth="9.33203125" defaultRowHeight="15.6" x14ac:dyDescent="0.3"/>
  <cols>
    <col min="1" max="1" width="9.44140625" style="1" customWidth="1"/>
    <col min="2" max="2" width="8.109375" style="1" customWidth="1"/>
    <col min="3" max="3" width="29.33203125" style="1" customWidth="1"/>
    <col min="4" max="4" width="10.109375" style="1" customWidth="1"/>
    <col min="5" max="5" width="10.21875" style="1" customWidth="1"/>
    <col min="6" max="6" width="10.109375" style="1" customWidth="1"/>
    <col min="7" max="7" width="9.77734375" style="1" customWidth="1"/>
    <col min="8" max="8" width="9.5546875" style="1" customWidth="1"/>
    <col min="9" max="9" width="9.77734375" style="1" customWidth="1"/>
    <col min="10" max="10" width="10.21875" style="57" customWidth="1"/>
    <col min="11" max="11" width="10.6640625" style="57" customWidth="1"/>
    <col min="12" max="12" width="11.109375" style="57" customWidth="1"/>
    <col min="13" max="16384" width="9.33203125" style="1"/>
  </cols>
  <sheetData>
    <row r="1" spans="2:12" ht="22.2" customHeight="1" x14ac:dyDescent="0.3">
      <c r="B1" s="137" t="s">
        <v>46</v>
      </c>
      <c r="C1" s="138"/>
      <c r="D1" s="138"/>
      <c r="E1" s="138"/>
      <c r="F1" s="138"/>
      <c r="G1" s="138"/>
      <c r="H1" s="138"/>
      <c r="I1" s="138"/>
      <c r="J1" s="138"/>
      <c r="K1" s="138"/>
      <c r="L1" s="139"/>
    </row>
    <row r="2" spans="2:12" ht="19.2" customHeight="1" x14ac:dyDescent="0.3">
      <c r="B2" s="142" t="s">
        <v>0</v>
      </c>
      <c r="C2" s="143"/>
      <c r="D2" s="140" t="s">
        <v>42</v>
      </c>
      <c r="E2" s="140"/>
      <c r="F2" s="140"/>
      <c r="G2" s="140"/>
      <c r="H2" s="140"/>
      <c r="I2" s="140"/>
      <c r="J2" s="140"/>
      <c r="K2" s="140"/>
      <c r="L2" s="141"/>
    </row>
    <row r="3" spans="2:12" ht="40.799999999999997" customHeight="1" x14ac:dyDescent="0.3">
      <c r="B3" s="117" t="s">
        <v>2</v>
      </c>
      <c r="C3" s="115" t="s">
        <v>3</v>
      </c>
      <c r="D3" s="144" t="s">
        <v>24</v>
      </c>
      <c r="E3" s="144"/>
      <c r="F3" s="144"/>
      <c r="G3" s="144" t="s">
        <v>25</v>
      </c>
      <c r="H3" s="144"/>
      <c r="I3" s="144"/>
      <c r="J3" s="134" t="s">
        <v>28</v>
      </c>
      <c r="K3" s="135"/>
      <c r="L3" s="136"/>
    </row>
    <row r="4" spans="2:12" ht="18.600000000000001" customHeight="1" thickBot="1" x14ac:dyDescent="0.35">
      <c r="B4" s="118"/>
      <c r="C4" s="116"/>
      <c r="D4" s="3">
        <v>2023</v>
      </c>
      <c r="E4" s="3">
        <v>2024</v>
      </c>
      <c r="F4" s="3">
        <v>2025</v>
      </c>
      <c r="G4" s="3">
        <v>2023</v>
      </c>
      <c r="H4" s="3">
        <v>2024</v>
      </c>
      <c r="I4" s="3">
        <v>2025</v>
      </c>
      <c r="J4" s="80">
        <v>2023</v>
      </c>
      <c r="K4" s="3">
        <v>2024</v>
      </c>
      <c r="L4" s="4">
        <v>2025</v>
      </c>
    </row>
    <row r="5" spans="2:12" ht="18.600000000000001" customHeight="1" x14ac:dyDescent="0.3">
      <c r="B5" s="24">
        <v>1</v>
      </c>
      <c r="C5" s="25" t="s">
        <v>6</v>
      </c>
      <c r="D5" s="55">
        <f>Depo!G5/Depo!D5*100</f>
        <v>97.160129843056666</v>
      </c>
      <c r="E5" s="55">
        <f>Depo!H5/Depo!E5*100</f>
        <v>99.742258243554559</v>
      </c>
      <c r="F5" s="55">
        <f>Depo!I5/Depo!F5*100</f>
        <v>96.370163191986094</v>
      </c>
      <c r="G5" s="54">
        <v>2.1209668092980225</v>
      </c>
      <c r="H5" s="54">
        <v>2.5800408719346053</v>
      </c>
      <c r="I5" s="54">
        <v>2.5411791646474278</v>
      </c>
      <c r="J5" s="81">
        <v>97.47150094996833</v>
      </c>
      <c r="K5" s="55">
        <v>97.545171966545908</v>
      </c>
      <c r="L5" s="79">
        <v>97.680847392781857</v>
      </c>
    </row>
    <row r="6" spans="2:12" ht="18.600000000000001" customHeight="1" x14ac:dyDescent="0.3">
      <c r="B6" s="23">
        <v>2</v>
      </c>
      <c r="C6" s="20" t="s">
        <v>10</v>
      </c>
      <c r="D6" s="48">
        <f>Depo!G6/Depo!D6*100</f>
        <v>124.99959112334227</v>
      </c>
      <c r="E6" s="48">
        <f>Depo!H6/Depo!E6*100</f>
        <v>123.67295793393463</v>
      </c>
      <c r="F6" s="48">
        <f>Depo!I6/Depo!F6*100</f>
        <v>123.13502866806914</v>
      </c>
      <c r="G6" s="48">
        <v>1.9256771002270519</v>
      </c>
      <c r="H6" s="48">
        <v>2.0809508907288738</v>
      </c>
      <c r="I6" s="48">
        <v>2.2503940864446146</v>
      </c>
      <c r="J6" s="82">
        <v>95.933312157138815</v>
      </c>
      <c r="K6" s="48">
        <v>94.329941359089332</v>
      </c>
      <c r="L6" s="46">
        <v>94.215384615384622</v>
      </c>
    </row>
    <row r="7" spans="2:12" ht="18.600000000000001" customHeight="1" x14ac:dyDescent="0.3">
      <c r="B7" s="24">
        <v>3</v>
      </c>
      <c r="C7" s="20" t="s">
        <v>7</v>
      </c>
      <c r="D7" s="48">
        <f>Depo!G7/Depo!D7*100</f>
        <v>73.091568187452722</v>
      </c>
      <c r="E7" s="48">
        <f>Depo!H7/Depo!E7*100</f>
        <v>76.5176066183122</v>
      </c>
      <c r="F7" s="48">
        <f>Depo!I7/Depo!F7*100</f>
        <v>85.482475275571673</v>
      </c>
      <c r="G7" s="20">
        <v>2.4279858071153382</v>
      </c>
      <c r="H7" s="20">
        <v>3.2046526470493517</v>
      </c>
      <c r="I7" s="48">
        <v>3.3010480952116943</v>
      </c>
      <c r="J7" s="82">
        <v>87.297341115434506</v>
      </c>
      <c r="K7" s="48">
        <v>85.534591194968542</v>
      </c>
      <c r="L7" s="46">
        <v>80.493267578509446</v>
      </c>
    </row>
    <row r="8" spans="2:12" ht="18.600000000000001" customHeight="1" x14ac:dyDescent="0.3">
      <c r="B8" s="23">
        <v>4</v>
      </c>
      <c r="C8" s="20" t="s">
        <v>8</v>
      </c>
      <c r="D8" s="58">
        <f>Depo!G8/Depo!D8*100</f>
        <v>735.33555802743797</v>
      </c>
      <c r="E8" s="48">
        <f>Depo!H8/Depo!E8*100</f>
        <v>216.9167803547067</v>
      </c>
      <c r="F8" s="48">
        <f>Depo!I8/Depo!F8*100</f>
        <v>113.82312095654237</v>
      </c>
      <c r="G8" s="20">
        <v>3.3975563909774431</v>
      </c>
      <c r="H8" s="48">
        <v>5.1489550911516222</v>
      </c>
      <c r="I8" s="48">
        <v>2.5082558650046769</v>
      </c>
      <c r="J8" s="82">
        <v>98.79993142465284</v>
      </c>
      <c r="K8" s="48">
        <v>98.341495992876219</v>
      </c>
      <c r="L8" s="46">
        <v>94.792033218382713</v>
      </c>
    </row>
    <row r="9" spans="2:12" ht="18.600000000000001" customHeight="1" x14ac:dyDescent="0.3">
      <c r="B9" s="24">
        <v>5</v>
      </c>
      <c r="C9" s="27" t="s">
        <v>11</v>
      </c>
      <c r="D9" s="50">
        <f>Depo!G9/Depo!D9*100</f>
        <v>663.36861481822359</v>
      </c>
      <c r="E9" s="50">
        <f>Depo!H9/Depo!E9*100</f>
        <v>252.57836198179979</v>
      </c>
      <c r="F9" s="50">
        <f>Depo!I9/Depo!F9*100</f>
        <v>142.85235086934645</v>
      </c>
      <c r="G9" s="50">
        <v>2.1762604613186367</v>
      </c>
      <c r="H9" s="50">
        <v>3.2780979827089336</v>
      </c>
      <c r="I9" s="50">
        <v>2.9268576526950749</v>
      </c>
      <c r="J9" s="83">
        <v>99.930434128640456</v>
      </c>
      <c r="K9" s="50">
        <v>99.88435118226532</v>
      </c>
      <c r="L9" s="51">
        <v>99.565181151366971</v>
      </c>
    </row>
    <row r="10" spans="2:12" ht="18.600000000000001" customHeight="1" thickBot="1" x14ac:dyDescent="0.35">
      <c r="B10" s="23">
        <v>6</v>
      </c>
      <c r="C10" s="20" t="s">
        <v>9</v>
      </c>
      <c r="D10" s="48">
        <f>Depo!G10/Depo!D10*100</f>
        <v>142.67746638784635</v>
      </c>
      <c r="E10" s="48">
        <f>Depo!H10/Depo!E10*100</f>
        <v>182.78107584613295</v>
      </c>
      <c r="F10" s="48">
        <f>Depo!I10/Depo!F10*100</f>
        <v>285.78088578088574</v>
      </c>
      <c r="G10" s="20">
        <v>3.2291096304408113</v>
      </c>
      <c r="H10" s="48">
        <v>14.983155073733343</v>
      </c>
      <c r="I10" s="48">
        <v>6.0448150078165712</v>
      </c>
      <c r="J10" s="82">
        <v>97.275715237697227</v>
      </c>
      <c r="K10" s="48">
        <v>97.696583987727266</v>
      </c>
      <c r="L10" s="46">
        <v>97.523219814241486</v>
      </c>
    </row>
    <row r="11" spans="2:12" ht="18.600000000000001" customHeight="1" thickBot="1" x14ac:dyDescent="0.35">
      <c r="B11" s="29"/>
      <c r="C11" s="30" t="s">
        <v>26</v>
      </c>
      <c r="D11" s="53">
        <f>Depo!G11/Depo!D11*100</f>
        <v>101.50761874053327</v>
      </c>
      <c r="E11" s="53">
        <f>Depo!H11/Depo!E11*100</f>
        <v>89.562728359886918</v>
      </c>
      <c r="F11" s="53">
        <f>Depo!I11/Depo!F11*100</f>
        <v>93.871046604993239</v>
      </c>
      <c r="G11" s="52">
        <v>2.6752367565310173</v>
      </c>
      <c r="H11" s="52">
        <v>4.3028669288341996</v>
      </c>
      <c r="I11" s="53">
        <v>3.155519345060708</v>
      </c>
      <c r="J11" s="84">
        <v>96.153090653987064</v>
      </c>
      <c r="K11" s="53">
        <v>95.438806261201563</v>
      </c>
      <c r="L11" s="47">
        <v>92.668670384030946</v>
      </c>
    </row>
    <row r="13" spans="2:12" ht="16.2" customHeight="1" x14ac:dyDescent="0.3">
      <c r="B13" s="105">
        <v>5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  <row r="14" spans="2:12" x14ac:dyDescent="0.3">
      <c r="J14" s="1"/>
      <c r="K14" s="1"/>
      <c r="L14" s="1"/>
    </row>
    <row r="15" spans="2:12" x14ac:dyDescent="0.3">
      <c r="J15" s="1"/>
      <c r="K15" s="1"/>
      <c r="L15" s="1"/>
    </row>
  </sheetData>
  <mergeCells count="9">
    <mergeCell ref="J3:L3"/>
    <mergeCell ref="B1:L1"/>
    <mergeCell ref="D2:L2"/>
    <mergeCell ref="B13:L13"/>
    <mergeCell ref="B2:C2"/>
    <mergeCell ref="D3:F3"/>
    <mergeCell ref="G3:I3"/>
    <mergeCell ref="C3:C4"/>
    <mergeCell ref="B3:B4"/>
  </mergeCells>
  <pageMargins left="0.25" right="0.25" top="0.75" bottom="0.75" header="0.3" footer="0.3"/>
  <pageSetup scale="9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CAA2-1590-426F-BC76-3DFB938723BA}">
  <dimension ref="B1:U18"/>
  <sheetViews>
    <sheetView tabSelected="1" zoomScaleNormal="100" workbookViewId="0">
      <selection activeCell="I17" sqref="I17"/>
    </sheetView>
  </sheetViews>
  <sheetFormatPr defaultColWidth="9.33203125" defaultRowHeight="15.6" x14ac:dyDescent="0.3"/>
  <cols>
    <col min="1" max="1" width="6.88671875" style="57" customWidth="1"/>
    <col min="2" max="2" width="7.109375" style="57" customWidth="1"/>
    <col min="3" max="3" width="30.77734375" style="57" customWidth="1"/>
    <col min="4" max="4" width="10.21875" style="57" hidden="1" customWidth="1"/>
    <col min="5" max="5" width="10.6640625" style="57" hidden="1" customWidth="1"/>
    <col min="6" max="6" width="11.109375" style="57" hidden="1" customWidth="1"/>
    <col min="7" max="7" width="10.21875" style="57" customWidth="1"/>
    <col min="8" max="8" width="10.6640625" style="57" customWidth="1"/>
    <col min="9" max="9" width="11.109375" style="57" customWidth="1"/>
    <col min="10" max="12" width="10.21875" style="57" customWidth="1"/>
    <col min="13" max="15" width="10" style="1" customWidth="1"/>
    <col min="16" max="16" width="10.5546875" style="1" customWidth="1"/>
    <col min="17" max="17" width="10.21875" style="1" customWidth="1"/>
    <col min="18" max="18" width="10.33203125" style="1" customWidth="1"/>
    <col min="19" max="16384" width="9.33203125" style="57"/>
  </cols>
  <sheetData>
    <row r="1" spans="2:21" s="1" customFormat="1" ht="21.6" customHeight="1" x14ac:dyDescent="0.3">
      <c r="B1" s="151" t="s">
        <v>47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3"/>
    </row>
    <row r="2" spans="2:21" s="1" customFormat="1" ht="18.600000000000001" customHeight="1" x14ac:dyDescent="0.3">
      <c r="B2" s="110" t="s">
        <v>0</v>
      </c>
      <c r="C2" s="111"/>
      <c r="D2" s="154" t="s">
        <v>42</v>
      </c>
      <c r="E2" s="155"/>
      <c r="F2" s="155"/>
      <c r="G2" s="155"/>
      <c r="H2" s="155"/>
      <c r="I2" s="155"/>
      <c r="J2" s="155"/>
      <c r="K2" s="155"/>
      <c r="L2" s="156"/>
      <c r="M2" s="103" t="s">
        <v>1</v>
      </c>
      <c r="N2" s="103"/>
      <c r="O2" s="145"/>
      <c r="P2" s="103" t="s">
        <v>32</v>
      </c>
      <c r="Q2" s="103"/>
      <c r="R2" s="104"/>
    </row>
    <row r="3" spans="2:21" s="1" customFormat="1" ht="42.6" customHeight="1" x14ac:dyDescent="0.3">
      <c r="B3" s="157" t="s">
        <v>2</v>
      </c>
      <c r="C3" s="129" t="s">
        <v>3</v>
      </c>
      <c r="D3" s="135" t="s">
        <v>28</v>
      </c>
      <c r="E3" s="135"/>
      <c r="F3" s="135"/>
      <c r="G3" s="135" t="s">
        <v>29</v>
      </c>
      <c r="H3" s="135"/>
      <c r="I3" s="135"/>
      <c r="J3" s="135" t="s">
        <v>41</v>
      </c>
      <c r="K3" s="135"/>
      <c r="L3" s="135"/>
      <c r="M3" s="146" t="s">
        <v>34</v>
      </c>
      <c r="N3" s="146"/>
      <c r="O3" s="147"/>
      <c r="P3" s="148" t="s">
        <v>35</v>
      </c>
      <c r="Q3" s="149"/>
      <c r="R3" s="150"/>
    </row>
    <row r="4" spans="2:21" s="1" customFormat="1" ht="18.600000000000001" customHeight="1" thickBot="1" x14ac:dyDescent="0.35">
      <c r="B4" s="158"/>
      <c r="C4" s="130"/>
      <c r="D4" s="3">
        <v>2023</v>
      </c>
      <c r="E4" s="3">
        <v>2024</v>
      </c>
      <c r="F4" s="3">
        <v>2025</v>
      </c>
      <c r="G4" s="3">
        <v>2023</v>
      </c>
      <c r="H4" s="3">
        <v>2024</v>
      </c>
      <c r="I4" s="3">
        <v>2025</v>
      </c>
      <c r="J4" s="33">
        <v>2023</v>
      </c>
      <c r="K4" s="3">
        <v>2024</v>
      </c>
      <c r="L4" s="3">
        <v>2025</v>
      </c>
      <c r="M4" s="80">
        <v>2023</v>
      </c>
      <c r="N4" s="3">
        <v>2024</v>
      </c>
      <c r="O4" s="3">
        <v>2025</v>
      </c>
      <c r="P4" s="3">
        <v>2023</v>
      </c>
      <c r="Q4" s="3">
        <v>2024</v>
      </c>
      <c r="R4" s="4">
        <v>2025</v>
      </c>
    </row>
    <row r="5" spans="2:21" ht="18.600000000000001" customHeight="1" x14ac:dyDescent="0.3">
      <c r="B5" s="62">
        <v>1</v>
      </c>
      <c r="C5" s="25" t="s">
        <v>6</v>
      </c>
      <c r="D5" s="54">
        <f>Exps.!G5/Exps.!J5*100</f>
        <v>97.47150094996833</v>
      </c>
      <c r="E5" s="55">
        <f>Exps.!H5/Exps.!K5*100</f>
        <v>97.545171966545908</v>
      </c>
      <c r="F5" s="55">
        <f>Exps.!I5/Exps.!L5*100</f>
        <v>97.680847392781857</v>
      </c>
      <c r="G5" s="73">
        <v>0.87</v>
      </c>
      <c r="H5" s="54">
        <v>0.99</v>
      </c>
      <c r="I5" s="54">
        <v>1.2</v>
      </c>
      <c r="J5" s="54">
        <v>49.1</v>
      </c>
      <c r="K5" s="54">
        <v>38.31</v>
      </c>
      <c r="L5" s="54">
        <v>37.950000000000003</v>
      </c>
      <c r="M5" s="85">
        <v>1.34</v>
      </c>
      <c r="N5" s="26">
        <v>1.86</v>
      </c>
      <c r="O5" s="26">
        <v>2.0099999999999998</v>
      </c>
      <c r="P5" s="54">
        <v>1.72</v>
      </c>
      <c r="Q5" s="54">
        <v>2.44</v>
      </c>
      <c r="R5" s="45">
        <v>3.68</v>
      </c>
    </row>
    <row r="6" spans="2:21" ht="18.600000000000001" customHeight="1" x14ac:dyDescent="0.3">
      <c r="B6" s="63">
        <v>2</v>
      </c>
      <c r="C6" s="20" t="s">
        <v>10</v>
      </c>
      <c r="D6" s="20">
        <f>Exps.!G6/Exps.!J6*100</f>
        <v>95.933312157138815</v>
      </c>
      <c r="E6" s="48">
        <f>Exps.!H6/Exps.!K6*100</f>
        <v>94.329941359089332</v>
      </c>
      <c r="F6" s="48">
        <f>Exps.!I6/Exps.!L6*100</f>
        <v>94.215384615384622</v>
      </c>
      <c r="G6" s="20">
        <v>3.14</v>
      </c>
      <c r="H6" s="13">
        <v>2.93</v>
      </c>
      <c r="I6" s="13">
        <v>2.4300000000000002</v>
      </c>
      <c r="J6" s="13">
        <v>86.05</v>
      </c>
      <c r="K6" s="74">
        <v>74.5</v>
      </c>
      <c r="L6" s="13">
        <v>80.45</v>
      </c>
      <c r="M6" s="86">
        <v>0.32</v>
      </c>
      <c r="N6" s="13">
        <v>0.53</v>
      </c>
      <c r="O6" s="13">
        <v>0.7</v>
      </c>
      <c r="P6" s="20">
        <v>2.27</v>
      </c>
      <c r="Q6" s="13">
        <v>3.21</v>
      </c>
      <c r="R6" s="32">
        <v>3.34</v>
      </c>
      <c r="S6" s="71"/>
    </row>
    <row r="7" spans="2:21" ht="18.600000000000001" customHeight="1" x14ac:dyDescent="0.3">
      <c r="B7" s="62">
        <v>3</v>
      </c>
      <c r="C7" s="20" t="s">
        <v>7</v>
      </c>
      <c r="D7" s="20">
        <f>Exps.!G7/Exps.!J7*100</f>
        <v>87.297341115434506</v>
      </c>
      <c r="E7" s="48">
        <f>Exps.!H7/Exps.!K7*100</f>
        <v>85.534591194968542</v>
      </c>
      <c r="F7" s="48">
        <f>Exps.!I7/Exps.!L7*100</f>
        <v>80.493267578509446</v>
      </c>
      <c r="G7" s="75">
        <v>0.3</v>
      </c>
      <c r="H7" s="75">
        <v>0.32</v>
      </c>
      <c r="I7" s="20">
        <v>0.71</v>
      </c>
      <c r="J7" s="13">
        <v>56.96</v>
      </c>
      <c r="K7" s="13">
        <v>54.86</v>
      </c>
      <c r="L7" s="13">
        <v>49.24</v>
      </c>
      <c r="M7" s="86">
        <v>3.57</v>
      </c>
      <c r="N7" s="13">
        <v>6.65</v>
      </c>
      <c r="O7" s="13">
        <v>10.94</v>
      </c>
      <c r="P7" s="20">
        <v>1.1399999999999999</v>
      </c>
      <c r="Q7" s="20">
        <v>1.97</v>
      </c>
      <c r="R7" s="32">
        <v>7.57</v>
      </c>
    </row>
    <row r="8" spans="2:21" ht="18.600000000000001" customHeight="1" x14ac:dyDescent="0.3">
      <c r="B8" s="63">
        <v>4</v>
      </c>
      <c r="C8" s="20" t="s">
        <v>48</v>
      </c>
      <c r="D8" s="20">
        <f>Exps.!G8/Exps.!J8*100</f>
        <v>98.79993142465284</v>
      </c>
      <c r="E8" s="48">
        <f>Exps.!H8/Exps.!K8*100</f>
        <v>98.341495992876219</v>
      </c>
      <c r="F8" s="48">
        <f>Exps.!I8/Exps.!L8*100</f>
        <v>94.792033218382713</v>
      </c>
      <c r="G8" s="56">
        <v>-26.09</v>
      </c>
      <c r="H8" s="56">
        <v>-28.14</v>
      </c>
      <c r="I8" s="56">
        <v>-26.63</v>
      </c>
      <c r="J8" s="75">
        <v>3271</v>
      </c>
      <c r="K8" s="75">
        <v>557</v>
      </c>
      <c r="L8" s="75">
        <v>436</v>
      </c>
      <c r="M8" s="87">
        <v>0.14899999999999999</v>
      </c>
      <c r="N8" s="74">
        <v>0.43980000000000002</v>
      </c>
      <c r="O8" s="13">
        <v>0.82</v>
      </c>
      <c r="P8" s="59">
        <v>-0.2457</v>
      </c>
      <c r="Q8" s="59">
        <v>-0.29260000000000003</v>
      </c>
      <c r="R8" s="60">
        <v>-0.28999999999999998</v>
      </c>
    </row>
    <row r="9" spans="2:21" ht="18.600000000000001" customHeight="1" x14ac:dyDescent="0.3">
      <c r="B9" s="62">
        <v>5</v>
      </c>
      <c r="C9" s="27" t="s">
        <v>11</v>
      </c>
      <c r="D9" s="49">
        <f>Exps.!G9/Exps.!J9*100</f>
        <v>99.930434128640456</v>
      </c>
      <c r="E9" s="50">
        <f>Exps.!H9/Exps.!K9*100</f>
        <v>99.88435118226532</v>
      </c>
      <c r="F9" s="50">
        <f>Exps.!I9/Exps.!L9*100</f>
        <v>99.565181151366971</v>
      </c>
      <c r="G9" s="27">
        <v>2.94</v>
      </c>
      <c r="H9" s="27">
        <v>0.56999999999999995</v>
      </c>
      <c r="I9" s="49">
        <v>0.43</v>
      </c>
      <c r="J9" s="14">
        <v>305.89</v>
      </c>
      <c r="K9" s="49">
        <v>234</v>
      </c>
      <c r="L9" s="14">
        <v>142.53</v>
      </c>
      <c r="M9" s="88">
        <v>0.19</v>
      </c>
      <c r="N9" s="14">
        <v>0.39</v>
      </c>
      <c r="O9" s="14">
        <v>0.89</v>
      </c>
      <c r="P9" s="49">
        <v>7</v>
      </c>
      <c r="Q9" s="49">
        <v>1</v>
      </c>
      <c r="R9" s="61">
        <v>1</v>
      </c>
    </row>
    <row r="10" spans="2:21" ht="18.600000000000001" customHeight="1" thickBot="1" x14ac:dyDescent="0.35">
      <c r="B10" s="90">
        <v>6</v>
      </c>
      <c r="C10" s="91" t="s">
        <v>9</v>
      </c>
      <c r="D10" s="91">
        <f>Exps.!G10/Exps.!J10*100</f>
        <v>97.275715237697227</v>
      </c>
      <c r="E10" s="92">
        <f>Exps.!H10/Exps.!K10*100</f>
        <v>97.696583987727266</v>
      </c>
      <c r="F10" s="92">
        <f>Exps.!I10/Exps.!L10*100</f>
        <v>97.523219814241486</v>
      </c>
      <c r="G10" s="91">
        <v>0.15</v>
      </c>
      <c r="H10" s="93">
        <v>-1.69</v>
      </c>
      <c r="I10" s="93">
        <v>-4.92</v>
      </c>
      <c r="J10" s="94">
        <v>28.35</v>
      </c>
      <c r="K10" s="91">
        <v>122.6</v>
      </c>
      <c r="L10" s="91">
        <v>151.88</v>
      </c>
      <c r="M10" s="95">
        <v>1.84</v>
      </c>
      <c r="N10" s="94">
        <v>1.1100000000000001</v>
      </c>
      <c r="O10" s="94">
        <v>0.54</v>
      </c>
      <c r="P10" s="91">
        <v>0.89</v>
      </c>
      <c r="Q10" s="96">
        <v>-6.89</v>
      </c>
      <c r="R10" s="97">
        <v>-11.33</v>
      </c>
    </row>
    <row r="12" spans="2:21" ht="31.2" customHeight="1" x14ac:dyDescent="0.3">
      <c r="B12" s="159" t="s">
        <v>30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31"/>
      <c r="T12" s="31"/>
      <c r="U12" s="31"/>
    </row>
    <row r="13" spans="2:21" ht="43.2" customHeight="1" x14ac:dyDescent="0.3">
      <c r="B13" s="161" t="s">
        <v>49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</row>
    <row r="14" spans="2:21" ht="17.399999999999999" customHeight="1" x14ac:dyDescent="0.3"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</row>
    <row r="15" spans="2:21" x14ac:dyDescent="0.3">
      <c r="B15" s="160">
        <v>6</v>
      </c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</row>
    <row r="18" ht="13.2" customHeight="1" x14ac:dyDescent="0.3"/>
  </sheetData>
  <mergeCells count="15">
    <mergeCell ref="B12:R12"/>
    <mergeCell ref="B15:R15"/>
    <mergeCell ref="D3:F3"/>
    <mergeCell ref="G3:I3"/>
    <mergeCell ref="J3:L3"/>
    <mergeCell ref="B13:R13"/>
    <mergeCell ref="M2:O2"/>
    <mergeCell ref="P2:R2"/>
    <mergeCell ref="M3:O3"/>
    <mergeCell ref="P3:R3"/>
    <mergeCell ref="B1:R1"/>
    <mergeCell ref="B2:C2"/>
    <mergeCell ref="D2:L2"/>
    <mergeCell ref="C3:C4"/>
    <mergeCell ref="B3:B4"/>
  </mergeCells>
  <pageMargins left="0.7" right="0.7" top="0.75" bottom="0.75" header="0.3" footer="0.3"/>
  <pageSetup scale="72" orientation="landscape" r:id="rId1"/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61A-B0C1-4FC9-8E72-D70A6FBA71B6}">
  <dimension ref="B1:N13"/>
  <sheetViews>
    <sheetView zoomScaleNormal="100" zoomScaleSheetLayoutView="100" workbookViewId="0">
      <selection activeCell="C17" sqref="C17"/>
    </sheetView>
  </sheetViews>
  <sheetFormatPr defaultColWidth="9.33203125" defaultRowHeight="15.6" x14ac:dyDescent="0.3"/>
  <cols>
    <col min="1" max="1" width="9.33203125" style="1"/>
    <col min="2" max="2" width="7.21875" style="1" customWidth="1"/>
    <col min="3" max="3" width="30" style="1" customWidth="1"/>
    <col min="4" max="9" width="10" style="1" customWidth="1"/>
    <col min="10" max="10" width="10.5546875" style="1" customWidth="1"/>
    <col min="11" max="11" width="10.21875" style="1" customWidth="1"/>
    <col min="12" max="12" width="10.33203125" style="1" customWidth="1"/>
    <col min="13" max="13" width="6.44140625" style="1" customWidth="1"/>
    <col min="14" max="14" width="13.33203125" style="1" customWidth="1"/>
    <col min="15" max="16384" width="9.33203125" style="1"/>
  </cols>
  <sheetData>
    <row r="1" spans="2:14" ht="21.6" customHeight="1" x14ac:dyDescent="0.3">
      <c r="B1" s="121" t="s">
        <v>39</v>
      </c>
      <c r="C1" s="122"/>
      <c r="D1" s="122"/>
      <c r="E1" s="122"/>
      <c r="F1" s="122"/>
      <c r="G1" s="122"/>
      <c r="H1" s="122"/>
      <c r="I1" s="122"/>
      <c r="J1" s="122"/>
      <c r="K1" s="122"/>
      <c r="L1" s="123"/>
    </row>
    <row r="2" spans="2:14" ht="18" customHeight="1" x14ac:dyDescent="0.3">
      <c r="B2" s="163" t="s">
        <v>0</v>
      </c>
      <c r="C2" s="164"/>
      <c r="D2" s="113" t="s">
        <v>31</v>
      </c>
      <c r="E2" s="113"/>
      <c r="F2" s="165"/>
      <c r="G2" s="103" t="s">
        <v>1</v>
      </c>
      <c r="H2" s="103"/>
      <c r="I2" s="145"/>
      <c r="J2" s="103" t="s">
        <v>32</v>
      </c>
      <c r="K2" s="103"/>
      <c r="L2" s="104"/>
    </row>
    <row r="3" spans="2:14" ht="36.6" customHeight="1" x14ac:dyDescent="0.3">
      <c r="B3" s="106" t="s">
        <v>2</v>
      </c>
      <c r="C3" s="108" t="s">
        <v>3</v>
      </c>
      <c r="D3" s="125" t="s">
        <v>33</v>
      </c>
      <c r="E3" s="126"/>
      <c r="F3" s="127"/>
      <c r="G3" s="162" t="s">
        <v>34</v>
      </c>
      <c r="H3" s="146"/>
      <c r="I3" s="147"/>
      <c r="J3" s="148" t="s">
        <v>35</v>
      </c>
      <c r="K3" s="149"/>
      <c r="L3" s="150"/>
    </row>
    <row r="4" spans="2:14" ht="18.600000000000001" customHeight="1" thickBot="1" x14ac:dyDescent="0.35">
      <c r="B4" s="107"/>
      <c r="C4" s="109"/>
      <c r="D4" s="3">
        <v>2023</v>
      </c>
      <c r="E4" s="3">
        <v>2024</v>
      </c>
      <c r="F4" s="3">
        <v>2025</v>
      </c>
      <c r="G4" s="3">
        <v>2023</v>
      </c>
      <c r="H4" s="3">
        <v>2024</v>
      </c>
      <c r="I4" s="3">
        <v>2025</v>
      </c>
      <c r="J4" s="3">
        <v>2023</v>
      </c>
      <c r="K4" s="3">
        <v>2024</v>
      </c>
      <c r="L4" s="4">
        <v>2025</v>
      </c>
    </row>
    <row r="5" spans="2:14" ht="18.600000000000001" customHeight="1" x14ac:dyDescent="0.3">
      <c r="B5" s="24">
        <v>1</v>
      </c>
      <c r="C5" s="25" t="s">
        <v>6</v>
      </c>
      <c r="D5" s="54">
        <v>0</v>
      </c>
      <c r="E5" s="54">
        <v>0</v>
      </c>
      <c r="F5" s="54">
        <v>0</v>
      </c>
      <c r="G5" s="26">
        <v>1.34</v>
      </c>
      <c r="H5" s="26">
        <v>1.86</v>
      </c>
      <c r="I5" s="26">
        <v>2.0099999999999998</v>
      </c>
      <c r="J5" s="54">
        <v>1.72</v>
      </c>
      <c r="K5" s="54">
        <v>2.44</v>
      </c>
      <c r="L5" s="45">
        <v>3.68</v>
      </c>
      <c r="N5" s="76" t="s">
        <v>37</v>
      </c>
    </row>
    <row r="6" spans="2:14" ht="18.600000000000001" customHeight="1" x14ac:dyDescent="0.3">
      <c r="B6" s="23">
        <v>2</v>
      </c>
      <c r="C6" s="20" t="s">
        <v>10</v>
      </c>
      <c r="D6" s="20">
        <v>0</v>
      </c>
      <c r="E6" s="20">
        <v>0</v>
      </c>
      <c r="F6" s="20">
        <v>0</v>
      </c>
      <c r="G6" s="13">
        <v>0.32</v>
      </c>
      <c r="H6" s="13">
        <v>0.53</v>
      </c>
      <c r="I6" s="13">
        <v>0.7</v>
      </c>
      <c r="J6" s="20">
        <v>2.27</v>
      </c>
      <c r="K6" s="13">
        <v>3.21</v>
      </c>
      <c r="L6" s="32">
        <v>3.34</v>
      </c>
      <c r="N6" s="76" t="s">
        <v>37</v>
      </c>
    </row>
    <row r="7" spans="2:14" ht="18.600000000000001" customHeight="1" x14ac:dyDescent="0.3">
      <c r="B7" s="24">
        <v>3</v>
      </c>
      <c r="C7" s="20" t="s">
        <v>7</v>
      </c>
      <c r="D7" s="20">
        <v>0</v>
      </c>
      <c r="E7" s="20">
        <v>0</v>
      </c>
      <c r="F7" s="20">
        <v>0</v>
      </c>
      <c r="G7" s="13">
        <v>3.57</v>
      </c>
      <c r="H7" s="13">
        <v>6.65</v>
      </c>
      <c r="I7" s="13">
        <v>10.94</v>
      </c>
      <c r="J7" s="20">
        <v>1.1399999999999999</v>
      </c>
      <c r="K7" s="20">
        <v>1.97</v>
      </c>
      <c r="L7" s="32">
        <v>7.57</v>
      </c>
    </row>
    <row r="8" spans="2:14" ht="18.600000000000001" customHeight="1" x14ac:dyDescent="0.3">
      <c r="B8" s="23">
        <v>4</v>
      </c>
      <c r="C8" s="20" t="s">
        <v>36</v>
      </c>
      <c r="D8" s="20">
        <v>0</v>
      </c>
      <c r="E8" s="20">
        <v>0</v>
      </c>
      <c r="F8" s="20">
        <v>0</v>
      </c>
      <c r="G8" s="74">
        <v>0.14899999999999999</v>
      </c>
      <c r="H8" s="74">
        <v>0.43980000000000002</v>
      </c>
      <c r="I8" s="13">
        <v>0.82</v>
      </c>
      <c r="J8" s="59">
        <v>-0.2457</v>
      </c>
      <c r="K8" s="59">
        <v>-0.29260000000000003</v>
      </c>
      <c r="L8" s="60">
        <v>-0.28999999999999998</v>
      </c>
    </row>
    <row r="9" spans="2:14" ht="18.600000000000001" customHeight="1" x14ac:dyDescent="0.3">
      <c r="B9" s="24">
        <v>5</v>
      </c>
      <c r="C9" s="27" t="s">
        <v>11</v>
      </c>
      <c r="D9" s="49">
        <v>0</v>
      </c>
      <c r="E9" s="49">
        <v>0</v>
      </c>
      <c r="F9" s="49">
        <v>0</v>
      </c>
      <c r="G9" s="14">
        <v>0.19</v>
      </c>
      <c r="H9" s="14">
        <v>0.39</v>
      </c>
      <c r="I9" s="14">
        <v>0.89</v>
      </c>
      <c r="J9" s="49">
        <v>7</v>
      </c>
      <c r="K9" s="49">
        <v>1</v>
      </c>
      <c r="L9" s="61">
        <v>1</v>
      </c>
    </row>
    <row r="10" spans="2:14" ht="18.600000000000001" customHeight="1" thickBot="1" x14ac:dyDescent="0.35">
      <c r="B10" s="23">
        <v>6</v>
      </c>
      <c r="C10" s="20" t="s">
        <v>9</v>
      </c>
      <c r="D10" s="20">
        <v>0</v>
      </c>
      <c r="E10" s="20">
        <v>0</v>
      </c>
      <c r="F10" s="20">
        <v>0</v>
      </c>
      <c r="G10" s="13">
        <v>1.84</v>
      </c>
      <c r="H10" s="13">
        <v>1.1100000000000001</v>
      </c>
      <c r="I10" s="13">
        <v>0.54</v>
      </c>
      <c r="J10" s="20">
        <v>0.89</v>
      </c>
      <c r="K10" s="59">
        <v>-6.89</v>
      </c>
      <c r="L10" s="60">
        <v>-11.33</v>
      </c>
    </row>
    <row r="11" spans="2:14" ht="18.600000000000001" customHeight="1" thickBot="1" x14ac:dyDescent="0.35">
      <c r="B11" s="29"/>
      <c r="C11" s="30" t="s">
        <v>12</v>
      </c>
      <c r="D11" s="52">
        <v>0</v>
      </c>
      <c r="E11" s="52">
        <v>0</v>
      </c>
      <c r="F11" s="52">
        <v>0</v>
      </c>
      <c r="G11" s="30"/>
      <c r="H11" s="30"/>
      <c r="I11" s="34"/>
      <c r="J11" s="34"/>
      <c r="K11" s="34"/>
      <c r="L11" s="35"/>
    </row>
    <row r="13" spans="2:14" ht="16.8" customHeight="1" x14ac:dyDescent="0.3">
      <c r="B13" s="105">
        <v>8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</sheetData>
  <mergeCells count="11">
    <mergeCell ref="B1:L1"/>
    <mergeCell ref="B2:C2"/>
    <mergeCell ref="D2:F2"/>
    <mergeCell ref="G2:I2"/>
    <mergeCell ref="J2:L2"/>
    <mergeCell ref="B3:B4"/>
    <mergeCell ref="B13:L13"/>
    <mergeCell ref="J3:L3"/>
    <mergeCell ref="G3:I3"/>
    <mergeCell ref="D3:F3"/>
    <mergeCell ref="C3:C4"/>
  </mergeCells>
  <pageMargins left="0.25" right="0.25" top="0.75" bottom="0.75" header="0.3" footer="0.3"/>
  <pageSetup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Depo</vt:lpstr>
      <vt:lpstr>Income</vt:lpstr>
      <vt:lpstr>Exps.</vt:lpstr>
      <vt:lpstr>Profit</vt:lpstr>
      <vt:lpstr>Ratio I</vt:lpstr>
      <vt:lpstr>Ratio II</vt:lpstr>
      <vt:lpstr>Ratio III</vt:lpstr>
      <vt:lpstr>Depo!Print_Area</vt:lpstr>
      <vt:lpstr>Exps.!Print_Area</vt:lpstr>
      <vt:lpstr>Income!Print_Area</vt:lpstr>
      <vt:lpstr>Profit!Print_Area</vt:lpstr>
      <vt:lpstr>'Ratio II'!Print_Area</vt:lpstr>
      <vt:lpstr>'Ratio III'!Print_Area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Economics</dc:creator>
  <cp:lastModifiedBy>IBA WTC</cp:lastModifiedBy>
  <cp:lastPrinted>2025-07-07T06:38:19Z</cp:lastPrinted>
  <dcterms:created xsi:type="dcterms:W3CDTF">2015-06-05T18:17:20Z</dcterms:created>
  <dcterms:modified xsi:type="dcterms:W3CDTF">2025-12-15T04:39:19Z</dcterms:modified>
</cp:coreProperties>
</file>